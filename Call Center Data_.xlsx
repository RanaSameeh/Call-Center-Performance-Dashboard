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VGA\Desktop\Assigment route\"/>
    </mc:Choice>
  </mc:AlternateContent>
  <xr:revisionPtr revIDLastSave="0" documentId="13_ncr:1_{B1C55353-AA7F-4041-98CD-0C260E30C2C9}" xr6:coauthVersionLast="47" xr6:coauthVersionMax="47" xr10:uidLastSave="{00000000-0000-0000-0000-000000000000}"/>
  <bookViews>
    <workbookView xWindow="-110" yWindow="-110" windowWidth="19420" windowHeight="10420" firstSheet="2" activeTab="8" xr2:uid="{00000000-000D-0000-FFFF-FFFF00000000}"/>
  </bookViews>
  <sheets>
    <sheet name="Call Data" sheetId="1" r:id="rId1"/>
    <sheet name="Dashboard-Insight" sheetId="14" r:id="rId2"/>
    <sheet name="Pivot Grouping" sheetId="8" r:id="rId3"/>
    <sheet name="Q1 - Sales by Representative" sheetId="2" r:id="rId4"/>
    <sheet name="Q2" sheetId="3" r:id="rId5"/>
    <sheet name="Q3" sheetId="12" r:id="rId6"/>
    <sheet name="Q4" sheetId="5" r:id="rId7"/>
    <sheet name="Q5" sheetId="6" r:id="rId8"/>
    <sheet name="Q6" sheetId="7" r:id="rId9"/>
  </sheets>
  <definedNames>
    <definedName name="_xlcn.WorksheetConnection_07.sampledataexcelportfolioproject.xlsxcustomers1">#REF!</definedName>
    <definedName name="Slicer_Day_of_week">#N/A</definedName>
    <definedName name="Slicer_Duration_Category">#N/A</definedName>
    <definedName name="Slicer_Financial_Year">#N/A</definedName>
    <definedName name="Slicer_Representativ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tW4b15ojigTpxNW0Zm/Ek9U0e0K7DD9if7nHY5AnVxU="/>
    </ext>
  </extLst>
</workbook>
</file>

<file path=xl/calcChain.xml><?xml version="1.0" encoding="utf-8"?>
<calcChain xmlns="http://schemas.openxmlformats.org/spreadsheetml/2006/main">
  <c r="D2" i="1" l="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M1001" i="1"/>
  <c r="K1001" i="1"/>
  <c r="J1001" i="1"/>
  <c r="M1000" i="1"/>
  <c r="K1000" i="1"/>
  <c r="J1000" i="1"/>
  <c r="M999" i="1"/>
  <c r="K999" i="1"/>
  <c r="J999" i="1"/>
  <c r="M998" i="1"/>
  <c r="K998" i="1"/>
  <c r="J998" i="1"/>
  <c r="M997" i="1"/>
  <c r="K997" i="1"/>
  <c r="J997" i="1"/>
  <c r="M996" i="1"/>
  <c r="K996" i="1"/>
  <c r="J996" i="1"/>
  <c r="M995" i="1"/>
  <c r="K995" i="1"/>
  <c r="J995" i="1"/>
  <c r="M994" i="1"/>
  <c r="K994" i="1"/>
  <c r="J994" i="1"/>
  <c r="M993" i="1"/>
  <c r="K993" i="1"/>
  <c r="J993" i="1"/>
  <c r="M992" i="1"/>
  <c r="K992" i="1"/>
  <c r="J992" i="1"/>
  <c r="M991" i="1"/>
  <c r="K991" i="1"/>
  <c r="J991" i="1"/>
  <c r="M990" i="1"/>
  <c r="K990" i="1"/>
  <c r="J990" i="1"/>
  <c r="M989" i="1"/>
  <c r="K989" i="1"/>
  <c r="J989" i="1"/>
  <c r="M988" i="1"/>
  <c r="K988" i="1"/>
  <c r="J988" i="1"/>
  <c r="M987" i="1"/>
  <c r="K987" i="1"/>
  <c r="J987" i="1"/>
  <c r="M986" i="1"/>
  <c r="K986" i="1"/>
  <c r="J986" i="1"/>
  <c r="M985" i="1"/>
  <c r="K985" i="1"/>
  <c r="J985" i="1"/>
  <c r="M984" i="1"/>
  <c r="K984" i="1"/>
  <c r="J984" i="1"/>
  <c r="M983" i="1"/>
  <c r="K983" i="1"/>
  <c r="J983" i="1"/>
  <c r="M982" i="1"/>
  <c r="K982" i="1"/>
  <c r="J982" i="1"/>
  <c r="M981" i="1"/>
  <c r="K981" i="1"/>
  <c r="J981" i="1"/>
  <c r="M980" i="1"/>
  <c r="K980" i="1"/>
  <c r="J980" i="1"/>
  <c r="M979" i="1"/>
  <c r="K979" i="1"/>
  <c r="J979" i="1"/>
  <c r="M978" i="1"/>
  <c r="K978" i="1"/>
  <c r="J978" i="1"/>
  <c r="M977" i="1"/>
  <c r="K977" i="1"/>
  <c r="J977" i="1"/>
  <c r="M976" i="1"/>
  <c r="K976" i="1"/>
  <c r="J976" i="1"/>
  <c r="M975" i="1"/>
  <c r="K975" i="1"/>
  <c r="J975" i="1"/>
  <c r="M974" i="1"/>
  <c r="K974" i="1"/>
  <c r="J974" i="1"/>
  <c r="M973" i="1"/>
  <c r="K973" i="1"/>
  <c r="J973" i="1"/>
  <c r="M972" i="1"/>
  <c r="K972" i="1"/>
  <c r="J972" i="1"/>
  <c r="M971" i="1"/>
  <c r="K971" i="1"/>
  <c r="J971" i="1"/>
  <c r="M970" i="1"/>
  <c r="K970" i="1"/>
  <c r="J970" i="1"/>
  <c r="M969" i="1"/>
  <c r="K969" i="1"/>
  <c r="J969" i="1"/>
  <c r="M968" i="1"/>
  <c r="K968" i="1"/>
  <c r="J968" i="1"/>
  <c r="M967" i="1"/>
  <c r="K967" i="1"/>
  <c r="J967" i="1"/>
  <c r="M966" i="1"/>
  <c r="K966" i="1"/>
  <c r="J966" i="1"/>
  <c r="M965" i="1"/>
  <c r="K965" i="1"/>
  <c r="J965" i="1"/>
  <c r="M964" i="1"/>
  <c r="K964" i="1"/>
  <c r="J964" i="1"/>
  <c r="M963" i="1"/>
  <c r="K963" i="1"/>
  <c r="J963" i="1"/>
  <c r="M962" i="1"/>
  <c r="K962" i="1"/>
  <c r="J962" i="1"/>
  <c r="M961" i="1"/>
  <c r="K961" i="1"/>
  <c r="J961" i="1"/>
  <c r="M960" i="1"/>
  <c r="K960" i="1"/>
  <c r="J960" i="1"/>
  <c r="M959" i="1"/>
  <c r="K959" i="1"/>
  <c r="J959" i="1"/>
  <c r="M958" i="1"/>
  <c r="K958" i="1"/>
  <c r="J958" i="1"/>
  <c r="M957" i="1"/>
  <c r="K957" i="1"/>
  <c r="J957" i="1"/>
  <c r="M956" i="1"/>
  <c r="K956" i="1"/>
  <c r="J956" i="1"/>
  <c r="M955" i="1"/>
  <c r="K955" i="1"/>
  <c r="J955" i="1"/>
  <c r="M954" i="1"/>
  <c r="K954" i="1"/>
  <c r="J954" i="1"/>
  <c r="M953" i="1"/>
  <c r="K953" i="1"/>
  <c r="J953" i="1"/>
  <c r="M952" i="1"/>
  <c r="K952" i="1"/>
  <c r="J952" i="1"/>
  <c r="M951" i="1"/>
  <c r="K951" i="1"/>
  <c r="J951" i="1"/>
  <c r="M950" i="1"/>
  <c r="K950" i="1"/>
  <c r="J950" i="1"/>
  <c r="M949" i="1"/>
  <c r="K949" i="1"/>
  <c r="J949" i="1"/>
  <c r="M948" i="1"/>
  <c r="K948" i="1"/>
  <c r="J948" i="1"/>
  <c r="M947" i="1"/>
  <c r="K947" i="1"/>
  <c r="J947" i="1"/>
  <c r="M946" i="1"/>
  <c r="K946" i="1"/>
  <c r="J946" i="1"/>
  <c r="M945" i="1"/>
  <c r="K945" i="1"/>
  <c r="J945" i="1"/>
  <c r="M944" i="1"/>
  <c r="K944" i="1"/>
  <c r="J944" i="1"/>
  <c r="M943" i="1"/>
  <c r="K943" i="1"/>
  <c r="J943" i="1"/>
  <c r="M942" i="1"/>
  <c r="K942" i="1"/>
  <c r="J942" i="1"/>
  <c r="M941" i="1"/>
  <c r="K941" i="1"/>
  <c r="J941" i="1"/>
  <c r="M940" i="1"/>
  <c r="K940" i="1"/>
  <c r="J940" i="1"/>
  <c r="M939" i="1"/>
  <c r="K939" i="1"/>
  <c r="J939" i="1"/>
  <c r="M938" i="1"/>
  <c r="K938" i="1"/>
  <c r="J938" i="1"/>
  <c r="M937" i="1"/>
  <c r="K937" i="1"/>
  <c r="J937" i="1"/>
  <c r="M936" i="1"/>
  <c r="K936" i="1"/>
  <c r="J936" i="1"/>
  <c r="M935" i="1"/>
  <c r="K935" i="1"/>
  <c r="J935" i="1"/>
  <c r="M934" i="1"/>
  <c r="K934" i="1"/>
  <c r="J934" i="1"/>
  <c r="M933" i="1"/>
  <c r="K933" i="1"/>
  <c r="J933" i="1"/>
  <c r="M932" i="1"/>
  <c r="K932" i="1"/>
  <c r="J932" i="1"/>
  <c r="M931" i="1"/>
  <c r="K931" i="1"/>
  <c r="J931" i="1"/>
  <c r="M930" i="1"/>
  <c r="K930" i="1"/>
  <c r="J930" i="1"/>
  <c r="M929" i="1"/>
  <c r="K929" i="1"/>
  <c r="J929" i="1"/>
  <c r="M928" i="1"/>
  <c r="K928" i="1"/>
  <c r="J928" i="1"/>
  <c r="M927" i="1"/>
  <c r="K927" i="1"/>
  <c r="J927" i="1"/>
  <c r="M926" i="1"/>
  <c r="K926" i="1"/>
  <c r="J926" i="1"/>
  <c r="M925" i="1"/>
  <c r="K925" i="1"/>
  <c r="J925" i="1"/>
  <c r="M924" i="1"/>
  <c r="K924" i="1"/>
  <c r="J924" i="1"/>
  <c r="M923" i="1"/>
  <c r="K923" i="1"/>
  <c r="J923" i="1"/>
  <c r="M922" i="1"/>
  <c r="K922" i="1"/>
  <c r="J922" i="1"/>
  <c r="M921" i="1"/>
  <c r="K921" i="1"/>
  <c r="J921" i="1"/>
  <c r="M920" i="1"/>
  <c r="K920" i="1"/>
  <c r="J920" i="1"/>
  <c r="M919" i="1"/>
  <c r="K919" i="1"/>
  <c r="J919" i="1"/>
  <c r="M918" i="1"/>
  <c r="K918" i="1"/>
  <c r="J918" i="1"/>
  <c r="M917" i="1"/>
  <c r="K917" i="1"/>
  <c r="J917" i="1"/>
  <c r="M916" i="1"/>
  <c r="K916" i="1"/>
  <c r="J916" i="1"/>
  <c r="M915" i="1"/>
  <c r="K915" i="1"/>
  <c r="J915" i="1"/>
  <c r="M914" i="1"/>
  <c r="K914" i="1"/>
  <c r="J914" i="1"/>
  <c r="M913" i="1"/>
  <c r="K913" i="1"/>
  <c r="J913" i="1"/>
  <c r="M912" i="1"/>
  <c r="K912" i="1"/>
  <c r="J912" i="1"/>
  <c r="M911" i="1"/>
  <c r="K911" i="1"/>
  <c r="J911" i="1"/>
  <c r="M910" i="1"/>
  <c r="K910" i="1"/>
  <c r="J910" i="1"/>
  <c r="M909" i="1"/>
  <c r="K909" i="1"/>
  <c r="J909" i="1"/>
  <c r="M908" i="1"/>
  <c r="K908" i="1"/>
  <c r="J908" i="1"/>
  <c r="M907" i="1"/>
  <c r="K907" i="1"/>
  <c r="J907" i="1"/>
  <c r="M906" i="1"/>
  <c r="K906" i="1"/>
  <c r="J906" i="1"/>
  <c r="M905" i="1"/>
  <c r="K905" i="1"/>
  <c r="J905" i="1"/>
  <c r="M904" i="1"/>
  <c r="K904" i="1"/>
  <c r="J904" i="1"/>
  <c r="M903" i="1"/>
  <c r="K903" i="1"/>
  <c r="J903" i="1"/>
  <c r="M902" i="1"/>
  <c r="K902" i="1"/>
  <c r="J902" i="1"/>
  <c r="M901" i="1"/>
  <c r="K901" i="1"/>
  <c r="J901" i="1"/>
  <c r="M900" i="1"/>
  <c r="K900" i="1"/>
  <c r="J900" i="1"/>
  <c r="M899" i="1"/>
  <c r="K899" i="1"/>
  <c r="J899" i="1"/>
  <c r="M898" i="1"/>
  <c r="K898" i="1"/>
  <c r="J898" i="1"/>
  <c r="M897" i="1"/>
  <c r="K897" i="1"/>
  <c r="J897" i="1"/>
  <c r="M896" i="1"/>
  <c r="K896" i="1"/>
  <c r="J896" i="1"/>
  <c r="M895" i="1"/>
  <c r="K895" i="1"/>
  <c r="J895" i="1"/>
  <c r="M894" i="1"/>
  <c r="K894" i="1"/>
  <c r="J894" i="1"/>
  <c r="M893" i="1"/>
  <c r="K893" i="1"/>
  <c r="J893" i="1"/>
  <c r="M892" i="1"/>
  <c r="K892" i="1"/>
  <c r="J892" i="1"/>
  <c r="M891" i="1"/>
  <c r="K891" i="1"/>
  <c r="J891" i="1"/>
  <c r="M890" i="1"/>
  <c r="K890" i="1"/>
  <c r="J890" i="1"/>
  <c r="M889" i="1"/>
  <c r="K889" i="1"/>
  <c r="J889" i="1"/>
  <c r="M888" i="1"/>
  <c r="K888" i="1"/>
  <c r="J888" i="1"/>
  <c r="M887" i="1"/>
  <c r="K887" i="1"/>
  <c r="J887" i="1"/>
  <c r="M886" i="1"/>
  <c r="K886" i="1"/>
  <c r="J886" i="1"/>
  <c r="M885" i="1"/>
  <c r="K885" i="1"/>
  <c r="J885" i="1"/>
  <c r="M884" i="1"/>
  <c r="K884" i="1"/>
  <c r="J884" i="1"/>
  <c r="M883" i="1"/>
  <c r="K883" i="1"/>
  <c r="J883" i="1"/>
  <c r="M882" i="1"/>
  <c r="K882" i="1"/>
  <c r="J882" i="1"/>
  <c r="M881" i="1"/>
  <c r="K881" i="1"/>
  <c r="J881" i="1"/>
  <c r="M880" i="1"/>
  <c r="K880" i="1"/>
  <c r="J880" i="1"/>
  <c r="M879" i="1"/>
  <c r="K879" i="1"/>
  <c r="J879" i="1"/>
  <c r="M878" i="1"/>
  <c r="K878" i="1"/>
  <c r="J878" i="1"/>
  <c r="M877" i="1"/>
  <c r="K877" i="1"/>
  <c r="J877" i="1"/>
  <c r="M876" i="1"/>
  <c r="K876" i="1"/>
  <c r="J876" i="1"/>
  <c r="M875" i="1"/>
  <c r="K875" i="1"/>
  <c r="J875" i="1"/>
  <c r="M874" i="1"/>
  <c r="K874" i="1"/>
  <c r="J874" i="1"/>
  <c r="M873" i="1"/>
  <c r="K873" i="1"/>
  <c r="J873" i="1"/>
  <c r="M872" i="1"/>
  <c r="K872" i="1"/>
  <c r="J872" i="1"/>
  <c r="M871" i="1"/>
  <c r="K871" i="1"/>
  <c r="J871" i="1"/>
  <c r="M870" i="1"/>
  <c r="K870" i="1"/>
  <c r="J870" i="1"/>
  <c r="M869" i="1"/>
  <c r="K869" i="1"/>
  <c r="J869" i="1"/>
  <c r="M868" i="1"/>
  <c r="K868" i="1"/>
  <c r="J868" i="1"/>
  <c r="M867" i="1"/>
  <c r="K867" i="1"/>
  <c r="J867" i="1"/>
  <c r="M866" i="1"/>
  <c r="K866" i="1"/>
  <c r="J866" i="1"/>
  <c r="M865" i="1"/>
  <c r="K865" i="1"/>
  <c r="J865" i="1"/>
  <c r="M864" i="1"/>
  <c r="K864" i="1"/>
  <c r="J864" i="1"/>
  <c r="M863" i="1"/>
  <c r="K863" i="1"/>
  <c r="J863" i="1"/>
  <c r="M862" i="1"/>
  <c r="K862" i="1"/>
  <c r="J862" i="1"/>
  <c r="M861" i="1"/>
  <c r="K861" i="1"/>
  <c r="J861" i="1"/>
  <c r="M860" i="1"/>
  <c r="K860" i="1"/>
  <c r="J860" i="1"/>
  <c r="M859" i="1"/>
  <c r="K859" i="1"/>
  <c r="J859" i="1"/>
  <c r="M858" i="1"/>
  <c r="K858" i="1"/>
  <c r="J858" i="1"/>
  <c r="M857" i="1"/>
  <c r="K857" i="1"/>
  <c r="J857" i="1"/>
  <c r="M856" i="1"/>
  <c r="K856" i="1"/>
  <c r="J856" i="1"/>
  <c r="M855" i="1"/>
  <c r="K855" i="1"/>
  <c r="J855" i="1"/>
  <c r="M854" i="1"/>
  <c r="K854" i="1"/>
  <c r="J854" i="1"/>
  <c r="M853" i="1"/>
  <c r="K853" i="1"/>
  <c r="J853" i="1"/>
  <c r="M852" i="1"/>
  <c r="K852" i="1"/>
  <c r="J852" i="1"/>
  <c r="M851" i="1"/>
  <c r="K851" i="1"/>
  <c r="J851" i="1"/>
  <c r="M850" i="1"/>
  <c r="K850" i="1"/>
  <c r="J850" i="1"/>
  <c r="M849" i="1"/>
  <c r="K849" i="1"/>
  <c r="J849" i="1"/>
  <c r="M848" i="1"/>
  <c r="K848" i="1"/>
  <c r="J848" i="1"/>
  <c r="M847" i="1"/>
  <c r="K847" i="1"/>
  <c r="J847" i="1"/>
  <c r="M846" i="1"/>
  <c r="K846" i="1"/>
  <c r="J846" i="1"/>
  <c r="M845" i="1"/>
  <c r="K845" i="1"/>
  <c r="J845" i="1"/>
  <c r="M844" i="1"/>
  <c r="K844" i="1"/>
  <c r="J844" i="1"/>
  <c r="M843" i="1"/>
  <c r="K843" i="1"/>
  <c r="J843" i="1"/>
  <c r="M842" i="1"/>
  <c r="K842" i="1"/>
  <c r="J842" i="1"/>
  <c r="M841" i="1"/>
  <c r="K841" i="1"/>
  <c r="J841" i="1"/>
  <c r="M840" i="1"/>
  <c r="K840" i="1"/>
  <c r="J840" i="1"/>
  <c r="M839" i="1"/>
  <c r="K839" i="1"/>
  <c r="J839" i="1"/>
  <c r="M838" i="1"/>
  <c r="K838" i="1"/>
  <c r="J838" i="1"/>
  <c r="M837" i="1"/>
  <c r="K837" i="1"/>
  <c r="J837" i="1"/>
  <c r="M836" i="1"/>
  <c r="K836" i="1"/>
  <c r="J836" i="1"/>
  <c r="M835" i="1"/>
  <c r="K835" i="1"/>
  <c r="J835" i="1"/>
  <c r="M834" i="1"/>
  <c r="K834" i="1"/>
  <c r="J834" i="1"/>
  <c r="M833" i="1"/>
  <c r="K833" i="1"/>
  <c r="J833" i="1"/>
  <c r="M832" i="1"/>
  <c r="K832" i="1"/>
  <c r="J832" i="1"/>
  <c r="M831" i="1"/>
  <c r="K831" i="1"/>
  <c r="J831" i="1"/>
  <c r="M830" i="1"/>
  <c r="K830" i="1"/>
  <c r="J830" i="1"/>
  <c r="M829" i="1"/>
  <c r="K829" i="1"/>
  <c r="J829" i="1"/>
  <c r="M828" i="1"/>
  <c r="K828" i="1"/>
  <c r="J828" i="1"/>
  <c r="M827" i="1"/>
  <c r="K827" i="1"/>
  <c r="J827" i="1"/>
  <c r="M826" i="1"/>
  <c r="K826" i="1"/>
  <c r="J826" i="1"/>
  <c r="M825" i="1"/>
  <c r="K825" i="1"/>
  <c r="J825" i="1"/>
  <c r="M824" i="1"/>
  <c r="K824" i="1"/>
  <c r="J824" i="1"/>
  <c r="M823" i="1"/>
  <c r="K823" i="1"/>
  <c r="J823" i="1"/>
  <c r="M822" i="1"/>
  <c r="K822" i="1"/>
  <c r="J822" i="1"/>
  <c r="M821" i="1"/>
  <c r="K821" i="1"/>
  <c r="J821" i="1"/>
  <c r="M820" i="1"/>
  <c r="K820" i="1"/>
  <c r="J820" i="1"/>
  <c r="M819" i="1"/>
  <c r="K819" i="1"/>
  <c r="J819" i="1"/>
  <c r="M818" i="1"/>
  <c r="K818" i="1"/>
  <c r="J818" i="1"/>
  <c r="M817" i="1"/>
  <c r="K817" i="1"/>
  <c r="J817" i="1"/>
  <c r="M816" i="1"/>
  <c r="K816" i="1"/>
  <c r="J816" i="1"/>
  <c r="M815" i="1"/>
  <c r="K815" i="1"/>
  <c r="J815" i="1"/>
  <c r="M814" i="1"/>
  <c r="K814" i="1"/>
  <c r="J814" i="1"/>
  <c r="M813" i="1"/>
  <c r="K813" i="1"/>
  <c r="J813" i="1"/>
  <c r="M812" i="1"/>
  <c r="K812" i="1"/>
  <c r="J812" i="1"/>
  <c r="M811" i="1"/>
  <c r="K811" i="1"/>
  <c r="J811" i="1"/>
  <c r="M810" i="1"/>
  <c r="K810" i="1"/>
  <c r="J810" i="1"/>
  <c r="M809" i="1"/>
  <c r="K809" i="1"/>
  <c r="J809" i="1"/>
  <c r="M808" i="1"/>
  <c r="K808" i="1"/>
  <c r="J808" i="1"/>
  <c r="M807" i="1"/>
  <c r="K807" i="1"/>
  <c r="J807" i="1"/>
  <c r="M806" i="1"/>
  <c r="K806" i="1"/>
  <c r="J806" i="1"/>
  <c r="M805" i="1"/>
  <c r="K805" i="1"/>
  <c r="J805" i="1"/>
  <c r="M804" i="1"/>
  <c r="K804" i="1"/>
  <c r="J804" i="1"/>
  <c r="M803" i="1"/>
  <c r="K803" i="1"/>
  <c r="J803" i="1"/>
  <c r="M802" i="1"/>
  <c r="K802" i="1"/>
  <c r="J802" i="1"/>
  <c r="M801" i="1"/>
  <c r="K801" i="1"/>
  <c r="J801" i="1"/>
  <c r="M800" i="1"/>
  <c r="K800" i="1"/>
  <c r="J800" i="1"/>
  <c r="M799" i="1"/>
  <c r="K799" i="1"/>
  <c r="J799" i="1"/>
  <c r="M798" i="1"/>
  <c r="K798" i="1"/>
  <c r="J798" i="1"/>
  <c r="M797" i="1"/>
  <c r="K797" i="1"/>
  <c r="J797" i="1"/>
  <c r="M796" i="1"/>
  <c r="K796" i="1"/>
  <c r="J796" i="1"/>
  <c r="M795" i="1"/>
  <c r="K795" i="1"/>
  <c r="J795" i="1"/>
  <c r="M794" i="1"/>
  <c r="K794" i="1"/>
  <c r="J794" i="1"/>
  <c r="M793" i="1"/>
  <c r="K793" i="1"/>
  <c r="J793" i="1"/>
  <c r="M792" i="1"/>
  <c r="K792" i="1"/>
  <c r="J792" i="1"/>
  <c r="M791" i="1"/>
  <c r="K791" i="1"/>
  <c r="J791" i="1"/>
  <c r="M790" i="1"/>
  <c r="K790" i="1"/>
  <c r="J790" i="1"/>
  <c r="M789" i="1"/>
  <c r="K789" i="1"/>
  <c r="J789" i="1"/>
  <c r="M788" i="1"/>
  <c r="K788" i="1"/>
  <c r="J788" i="1"/>
  <c r="M787" i="1"/>
  <c r="K787" i="1"/>
  <c r="J787" i="1"/>
  <c r="M786" i="1"/>
  <c r="K786" i="1"/>
  <c r="J786" i="1"/>
  <c r="M785" i="1"/>
  <c r="K785" i="1"/>
  <c r="J785" i="1"/>
  <c r="M784" i="1"/>
  <c r="K784" i="1"/>
  <c r="J784" i="1"/>
  <c r="M783" i="1"/>
  <c r="K783" i="1"/>
  <c r="J783" i="1"/>
  <c r="M782" i="1"/>
  <c r="K782" i="1"/>
  <c r="J782" i="1"/>
  <c r="M781" i="1"/>
  <c r="K781" i="1"/>
  <c r="J781" i="1"/>
  <c r="M780" i="1"/>
  <c r="K780" i="1"/>
  <c r="J780" i="1"/>
  <c r="M779" i="1"/>
  <c r="K779" i="1"/>
  <c r="J779" i="1"/>
  <c r="M778" i="1"/>
  <c r="K778" i="1"/>
  <c r="J778" i="1"/>
  <c r="M777" i="1"/>
  <c r="K777" i="1"/>
  <c r="J777" i="1"/>
  <c r="M776" i="1"/>
  <c r="K776" i="1"/>
  <c r="J776" i="1"/>
  <c r="M775" i="1"/>
  <c r="K775" i="1"/>
  <c r="J775" i="1"/>
  <c r="M774" i="1"/>
  <c r="K774" i="1"/>
  <c r="J774" i="1"/>
  <c r="M773" i="1"/>
  <c r="K773" i="1"/>
  <c r="J773" i="1"/>
  <c r="M772" i="1"/>
  <c r="K772" i="1"/>
  <c r="J772" i="1"/>
  <c r="M771" i="1"/>
  <c r="K771" i="1"/>
  <c r="J771" i="1"/>
  <c r="M770" i="1"/>
  <c r="K770" i="1"/>
  <c r="J770" i="1"/>
  <c r="M769" i="1"/>
  <c r="K769" i="1"/>
  <c r="J769" i="1"/>
  <c r="M768" i="1"/>
  <c r="K768" i="1"/>
  <c r="J768" i="1"/>
  <c r="M767" i="1"/>
  <c r="K767" i="1"/>
  <c r="J767" i="1"/>
  <c r="M766" i="1"/>
  <c r="K766" i="1"/>
  <c r="J766" i="1"/>
  <c r="M765" i="1"/>
  <c r="K765" i="1"/>
  <c r="J765" i="1"/>
  <c r="M764" i="1"/>
  <c r="K764" i="1"/>
  <c r="J764" i="1"/>
  <c r="M763" i="1"/>
  <c r="K763" i="1"/>
  <c r="J763" i="1"/>
  <c r="M762" i="1"/>
  <c r="K762" i="1"/>
  <c r="J762" i="1"/>
  <c r="M761" i="1"/>
  <c r="K761" i="1"/>
  <c r="J761" i="1"/>
  <c r="M760" i="1"/>
  <c r="K760" i="1"/>
  <c r="J760" i="1"/>
  <c r="M759" i="1"/>
  <c r="K759" i="1"/>
  <c r="J759" i="1"/>
  <c r="M758" i="1"/>
  <c r="K758" i="1"/>
  <c r="J758" i="1"/>
  <c r="M757" i="1"/>
  <c r="K757" i="1"/>
  <c r="J757" i="1"/>
  <c r="M756" i="1"/>
  <c r="K756" i="1"/>
  <c r="J756" i="1"/>
  <c r="M755" i="1"/>
  <c r="K755" i="1"/>
  <c r="J755" i="1"/>
  <c r="M754" i="1"/>
  <c r="K754" i="1"/>
  <c r="J754" i="1"/>
  <c r="M753" i="1"/>
  <c r="K753" i="1"/>
  <c r="J753" i="1"/>
  <c r="M752" i="1"/>
  <c r="K752" i="1"/>
  <c r="J752" i="1"/>
  <c r="M751" i="1"/>
  <c r="K751" i="1"/>
  <c r="J751" i="1"/>
  <c r="M750" i="1"/>
  <c r="K750" i="1"/>
  <c r="J750" i="1"/>
  <c r="M749" i="1"/>
  <c r="K749" i="1"/>
  <c r="J749" i="1"/>
  <c r="M748" i="1"/>
  <c r="K748" i="1"/>
  <c r="J748" i="1"/>
  <c r="M747" i="1"/>
  <c r="K747" i="1"/>
  <c r="J747" i="1"/>
  <c r="M746" i="1"/>
  <c r="K746" i="1"/>
  <c r="J746" i="1"/>
  <c r="M745" i="1"/>
  <c r="K745" i="1"/>
  <c r="J745" i="1"/>
  <c r="M744" i="1"/>
  <c r="K744" i="1"/>
  <c r="J744" i="1"/>
  <c r="M743" i="1"/>
  <c r="K743" i="1"/>
  <c r="J743" i="1"/>
  <c r="M742" i="1"/>
  <c r="K742" i="1"/>
  <c r="J742" i="1"/>
  <c r="M741" i="1"/>
  <c r="K741" i="1"/>
  <c r="J741" i="1"/>
  <c r="M740" i="1"/>
  <c r="K740" i="1"/>
  <c r="J740" i="1"/>
  <c r="M739" i="1"/>
  <c r="K739" i="1"/>
  <c r="J739" i="1"/>
  <c r="M738" i="1"/>
  <c r="K738" i="1"/>
  <c r="J738" i="1"/>
  <c r="M737" i="1"/>
  <c r="K737" i="1"/>
  <c r="J737" i="1"/>
  <c r="M736" i="1"/>
  <c r="K736" i="1"/>
  <c r="J736" i="1"/>
  <c r="M735" i="1"/>
  <c r="K735" i="1"/>
  <c r="J735" i="1"/>
  <c r="M734" i="1"/>
  <c r="K734" i="1"/>
  <c r="J734" i="1"/>
  <c r="M733" i="1"/>
  <c r="K733" i="1"/>
  <c r="J733" i="1"/>
  <c r="M732" i="1"/>
  <c r="K732" i="1"/>
  <c r="J732" i="1"/>
  <c r="M731" i="1"/>
  <c r="K731" i="1"/>
  <c r="J731" i="1"/>
  <c r="M730" i="1"/>
  <c r="K730" i="1"/>
  <c r="J730" i="1"/>
  <c r="M729" i="1"/>
  <c r="K729" i="1"/>
  <c r="J729" i="1"/>
  <c r="M728" i="1"/>
  <c r="K728" i="1"/>
  <c r="J728" i="1"/>
  <c r="M727" i="1"/>
  <c r="K727" i="1"/>
  <c r="J727" i="1"/>
  <c r="M726" i="1"/>
  <c r="K726" i="1"/>
  <c r="J726" i="1"/>
  <c r="M725" i="1"/>
  <c r="K725" i="1"/>
  <c r="J725" i="1"/>
  <c r="M724" i="1"/>
  <c r="K724" i="1"/>
  <c r="J724" i="1"/>
  <c r="M723" i="1"/>
  <c r="K723" i="1"/>
  <c r="J723" i="1"/>
  <c r="M722" i="1"/>
  <c r="K722" i="1"/>
  <c r="J722" i="1"/>
  <c r="M721" i="1"/>
  <c r="K721" i="1"/>
  <c r="J721" i="1"/>
  <c r="M720" i="1"/>
  <c r="K720" i="1"/>
  <c r="J720" i="1"/>
  <c r="M719" i="1"/>
  <c r="K719" i="1"/>
  <c r="J719" i="1"/>
  <c r="M718" i="1"/>
  <c r="K718" i="1"/>
  <c r="J718" i="1"/>
  <c r="M717" i="1"/>
  <c r="K717" i="1"/>
  <c r="J717" i="1"/>
  <c r="M716" i="1"/>
  <c r="K716" i="1"/>
  <c r="J716" i="1"/>
  <c r="M715" i="1"/>
  <c r="K715" i="1"/>
  <c r="J715" i="1"/>
  <c r="M714" i="1"/>
  <c r="K714" i="1"/>
  <c r="J714" i="1"/>
  <c r="M713" i="1"/>
  <c r="K713" i="1"/>
  <c r="J713" i="1"/>
  <c r="M712" i="1"/>
  <c r="K712" i="1"/>
  <c r="J712" i="1"/>
  <c r="M711" i="1"/>
  <c r="K711" i="1"/>
  <c r="J711" i="1"/>
  <c r="M710" i="1"/>
  <c r="K710" i="1"/>
  <c r="J710" i="1"/>
  <c r="M709" i="1"/>
  <c r="K709" i="1"/>
  <c r="J709" i="1"/>
  <c r="M708" i="1"/>
  <c r="K708" i="1"/>
  <c r="J708" i="1"/>
  <c r="M707" i="1"/>
  <c r="K707" i="1"/>
  <c r="J707" i="1"/>
  <c r="M706" i="1"/>
  <c r="K706" i="1"/>
  <c r="J706" i="1"/>
  <c r="M705" i="1"/>
  <c r="K705" i="1"/>
  <c r="J705" i="1"/>
  <c r="M704" i="1"/>
  <c r="K704" i="1"/>
  <c r="J704" i="1"/>
  <c r="M703" i="1"/>
  <c r="K703" i="1"/>
  <c r="J703" i="1"/>
  <c r="M702" i="1"/>
  <c r="K702" i="1"/>
  <c r="J702" i="1"/>
  <c r="M701" i="1"/>
  <c r="K701" i="1"/>
  <c r="J701" i="1"/>
  <c r="M700" i="1"/>
  <c r="K700" i="1"/>
  <c r="J700" i="1"/>
  <c r="M699" i="1"/>
  <c r="K699" i="1"/>
  <c r="J699" i="1"/>
  <c r="M698" i="1"/>
  <c r="K698" i="1"/>
  <c r="J698" i="1"/>
  <c r="M697" i="1"/>
  <c r="K697" i="1"/>
  <c r="J697" i="1"/>
  <c r="M696" i="1"/>
  <c r="K696" i="1"/>
  <c r="J696" i="1"/>
  <c r="M695" i="1"/>
  <c r="K695" i="1"/>
  <c r="J695" i="1"/>
  <c r="M694" i="1"/>
  <c r="K694" i="1"/>
  <c r="J694" i="1"/>
  <c r="M693" i="1"/>
  <c r="K693" i="1"/>
  <c r="J693" i="1"/>
  <c r="M692" i="1"/>
  <c r="K692" i="1"/>
  <c r="J692" i="1"/>
  <c r="M691" i="1"/>
  <c r="K691" i="1"/>
  <c r="J691" i="1"/>
  <c r="M690" i="1"/>
  <c r="K690" i="1"/>
  <c r="J690" i="1"/>
  <c r="M689" i="1"/>
  <c r="K689" i="1"/>
  <c r="J689" i="1"/>
  <c r="M688" i="1"/>
  <c r="K688" i="1"/>
  <c r="J688" i="1"/>
  <c r="M687" i="1"/>
  <c r="K687" i="1"/>
  <c r="J687" i="1"/>
  <c r="M686" i="1"/>
  <c r="K686" i="1"/>
  <c r="J686" i="1"/>
  <c r="M685" i="1"/>
  <c r="K685" i="1"/>
  <c r="J685" i="1"/>
  <c r="M684" i="1"/>
  <c r="K684" i="1"/>
  <c r="J684" i="1"/>
  <c r="M683" i="1"/>
  <c r="K683" i="1"/>
  <c r="J683" i="1"/>
  <c r="M682" i="1"/>
  <c r="K682" i="1"/>
  <c r="J682" i="1"/>
  <c r="M681" i="1"/>
  <c r="K681" i="1"/>
  <c r="J681" i="1"/>
  <c r="M680" i="1"/>
  <c r="K680" i="1"/>
  <c r="J680" i="1"/>
  <c r="M679" i="1"/>
  <c r="K679" i="1"/>
  <c r="J679" i="1"/>
  <c r="M678" i="1"/>
  <c r="K678" i="1"/>
  <c r="J678" i="1"/>
  <c r="M677" i="1"/>
  <c r="K677" i="1"/>
  <c r="J677" i="1"/>
  <c r="M676" i="1"/>
  <c r="K676" i="1"/>
  <c r="J676" i="1"/>
  <c r="M675" i="1"/>
  <c r="K675" i="1"/>
  <c r="J675" i="1"/>
  <c r="M674" i="1"/>
  <c r="K674" i="1"/>
  <c r="J674" i="1"/>
  <c r="M673" i="1"/>
  <c r="K673" i="1"/>
  <c r="J673" i="1"/>
  <c r="M672" i="1"/>
  <c r="K672" i="1"/>
  <c r="J672" i="1"/>
  <c r="M671" i="1"/>
  <c r="K671" i="1"/>
  <c r="J671" i="1"/>
  <c r="M670" i="1"/>
  <c r="K670" i="1"/>
  <c r="J670" i="1"/>
  <c r="M669" i="1"/>
  <c r="K669" i="1"/>
  <c r="J669" i="1"/>
  <c r="M668" i="1"/>
  <c r="K668" i="1"/>
  <c r="J668" i="1"/>
  <c r="M667" i="1"/>
  <c r="K667" i="1"/>
  <c r="J667" i="1"/>
  <c r="M666" i="1"/>
  <c r="K666" i="1"/>
  <c r="J666" i="1"/>
  <c r="M665" i="1"/>
  <c r="K665" i="1"/>
  <c r="J665" i="1"/>
  <c r="M664" i="1"/>
  <c r="K664" i="1"/>
  <c r="J664" i="1"/>
  <c r="M663" i="1"/>
  <c r="K663" i="1"/>
  <c r="J663" i="1"/>
  <c r="M662" i="1"/>
  <c r="K662" i="1"/>
  <c r="J662" i="1"/>
  <c r="M661" i="1"/>
  <c r="K661" i="1"/>
  <c r="J661" i="1"/>
  <c r="M660" i="1"/>
  <c r="K660" i="1"/>
  <c r="J660" i="1"/>
  <c r="M659" i="1"/>
  <c r="K659" i="1"/>
  <c r="J659" i="1"/>
  <c r="M658" i="1"/>
  <c r="K658" i="1"/>
  <c r="J658" i="1"/>
  <c r="M657" i="1"/>
  <c r="K657" i="1"/>
  <c r="J657" i="1"/>
  <c r="M656" i="1"/>
  <c r="K656" i="1"/>
  <c r="J656" i="1"/>
  <c r="M655" i="1"/>
  <c r="K655" i="1"/>
  <c r="J655" i="1"/>
  <c r="M654" i="1"/>
  <c r="K654" i="1"/>
  <c r="J654" i="1"/>
  <c r="M653" i="1"/>
  <c r="K653" i="1"/>
  <c r="J653" i="1"/>
  <c r="M652" i="1"/>
  <c r="K652" i="1"/>
  <c r="J652" i="1"/>
  <c r="M651" i="1"/>
  <c r="K651" i="1"/>
  <c r="J651" i="1"/>
  <c r="M650" i="1"/>
  <c r="K650" i="1"/>
  <c r="J650" i="1"/>
  <c r="M649" i="1"/>
  <c r="K649" i="1"/>
  <c r="J649" i="1"/>
  <c r="M648" i="1"/>
  <c r="K648" i="1"/>
  <c r="J648" i="1"/>
  <c r="M647" i="1"/>
  <c r="K647" i="1"/>
  <c r="J647" i="1"/>
  <c r="M646" i="1"/>
  <c r="K646" i="1"/>
  <c r="J646" i="1"/>
  <c r="M645" i="1"/>
  <c r="K645" i="1"/>
  <c r="J645" i="1"/>
  <c r="M644" i="1"/>
  <c r="K644" i="1"/>
  <c r="J644" i="1"/>
  <c r="M643" i="1"/>
  <c r="K643" i="1"/>
  <c r="J643" i="1"/>
  <c r="M642" i="1"/>
  <c r="K642" i="1"/>
  <c r="J642" i="1"/>
  <c r="M641" i="1"/>
  <c r="K641" i="1"/>
  <c r="J641" i="1"/>
  <c r="M640" i="1"/>
  <c r="K640" i="1"/>
  <c r="J640" i="1"/>
  <c r="M639" i="1"/>
  <c r="K639" i="1"/>
  <c r="J639" i="1"/>
  <c r="M638" i="1"/>
  <c r="K638" i="1"/>
  <c r="J638" i="1"/>
  <c r="M637" i="1"/>
  <c r="K637" i="1"/>
  <c r="J637" i="1"/>
  <c r="M636" i="1"/>
  <c r="K636" i="1"/>
  <c r="J636" i="1"/>
  <c r="M635" i="1"/>
  <c r="K635" i="1"/>
  <c r="J635" i="1"/>
  <c r="M634" i="1"/>
  <c r="K634" i="1"/>
  <c r="J634" i="1"/>
  <c r="M633" i="1"/>
  <c r="K633" i="1"/>
  <c r="J633" i="1"/>
  <c r="M632" i="1"/>
  <c r="K632" i="1"/>
  <c r="J632" i="1"/>
  <c r="M631" i="1"/>
  <c r="K631" i="1"/>
  <c r="J631" i="1"/>
  <c r="M630" i="1"/>
  <c r="K630" i="1"/>
  <c r="J630" i="1"/>
  <c r="M629" i="1"/>
  <c r="K629" i="1"/>
  <c r="J629" i="1"/>
  <c r="M628" i="1"/>
  <c r="K628" i="1"/>
  <c r="J628" i="1"/>
  <c r="M627" i="1"/>
  <c r="K627" i="1"/>
  <c r="J627" i="1"/>
  <c r="M626" i="1"/>
  <c r="K626" i="1"/>
  <c r="J626" i="1"/>
  <c r="M625" i="1"/>
  <c r="K625" i="1"/>
  <c r="J625" i="1"/>
  <c r="M624" i="1"/>
  <c r="K624" i="1"/>
  <c r="J624" i="1"/>
  <c r="M623" i="1"/>
  <c r="K623" i="1"/>
  <c r="J623" i="1"/>
  <c r="M622" i="1"/>
  <c r="K622" i="1"/>
  <c r="J622" i="1"/>
  <c r="M621" i="1"/>
  <c r="K621" i="1"/>
  <c r="J621" i="1"/>
  <c r="M620" i="1"/>
  <c r="K620" i="1"/>
  <c r="J620" i="1"/>
  <c r="M619" i="1"/>
  <c r="K619" i="1"/>
  <c r="J619" i="1"/>
  <c r="M618" i="1"/>
  <c r="K618" i="1"/>
  <c r="J618" i="1"/>
  <c r="M617" i="1"/>
  <c r="K617" i="1"/>
  <c r="J617" i="1"/>
  <c r="M616" i="1"/>
  <c r="K616" i="1"/>
  <c r="J616" i="1"/>
  <c r="M615" i="1"/>
  <c r="K615" i="1"/>
  <c r="J615" i="1"/>
  <c r="M614" i="1"/>
  <c r="K614" i="1"/>
  <c r="J614" i="1"/>
  <c r="M613" i="1"/>
  <c r="K613" i="1"/>
  <c r="J613" i="1"/>
  <c r="M612" i="1"/>
  <c r="K612" i="1"/>
  <c r="J612" i="1"/>
  <c r="M611" i="1"/>
  <c r="K611" i="1"/>
  <c r="J611" i="1"/>
  <c r="M610" i="1"/>
  <c r="K610" i="1"/>
  <c r="J610" i="1"/>
  <c r="M609" i="1"/>
  <c r="K609" i="1"/>
  <c r="J609" i="1"/>
  <c r="M608" i="1"/>
  <c r="K608" i="1"/>
  <c r="J608" i="1"/>
  <c r="M607" i="1"/>
  <c r="K607" i="1"/>
  <c r="J607" i="1"/>
  <c r="M606" i="1"/>
  <c r="K606" i="1"/>
  <c r="J606" i="1"/>
  <c r="M605" i="1"/>
  <c r="K605" i="1"/>
  <c r="J605" i="1"/>
  <c r="M604" i="1"/>
  <c r="K604" i="1"/>
  <c r="J604" i="1"/>
  <c r="M603" i="1"/>
  <c r="K603" i="1"/>
  <c r="J603" i="1"/>
  <c r="M602" i="1"/>
  <c r="K602" i="1"/>
  <c r="J602" i="1"/>
  <c r="M601" i="1"/>
  <c r="K601" i="1"/>
  <c r="J601" i="1"/>
  <c r="M600" i="1"/>
  <c r="K600" i="1"/>
  <c r="J600" i="1"/>
  <c r="M599" i="1"/>
  <c r="K599" i="1"/>
  <c r="J599" i="1"/>
  <c r="M598" i="1"/>
  <c r="K598" i="1"/>
  <c r="J598" i="1"/>
  <c r="M597" i="1"/>
  <c r="K597" i="1"/>
  <c r="J597" i="1"/>
  <c r="M596" i="1"/>
  <c r="K596" i="1"/>
  <c r="J596" i="1"/>
  <c r="M595" i="1"/>
  <c r="K595" i="1"/>
  <c r="J595" i="1"/>
  <c r="M594" i="1"/>
  <c r="K594" i="1"/>
  <c r="J594" i="1"/>
  <c r="M593" i="1"/>
  <c r="K593" i="1"/>
  <c r="J593" i="1"/>
  <c r="M592" i="1"/>
  <c r="K592" i="1"/>
  <c r="J592" i="1"/>
  <c r="M591" i="1"/>
  <c r="K591" i="1"/>
  <c r="J591" i="1"/>
  <c r="M590" i="1"/>
  <c r="K590" i="1"/>
  <c r="J590" i="1"/>
  <c r="M589" i="1"/>
  <c r="K589" i="1"/>
  <c r="J589" i="1"/>
  <c r="M588" i="1"/>
  <c r="K588" i="1"/>
  <c r="J588" i="1"/>
  <c r="M587" i="1"/>
  <c r="K587" i="1"/>
  <c r="J587" i="1"/>
  <c r="M586" i="1"/>
  <c r="K586" i="1"/>
  <c r="J586" i="1"/>
  <c r="M585" i="1"/>
  <c r="K585" i="1"/>
  <c r="J585" i="1"/>
  <c r="M584" i="1"/>
  <c r="K584" i="1"/>
  <c r="J584" i="1"/>
  <c r="M583" i="1"/>
  <c r="K583" i="1"/>
  <c r="J583" i="1"/>
  <c r="M582" i="1"/>
  <c r="K582" i="1"/>
  <c r="J582" i="1"/>
  <c r="M581" i="1"/>
  <c r="K581" i="1"/>
  <c r="J581" i="1"/>
  <c r="M580" i="1"/>
  <c r="K580" i="1"/>
  <c r="J580" i="1"/>
  <c r="M579" i="1"/>
  <c r="K579" i="1"/>
  <c r="J579" i="1"/>
  <c r="M578" i="1"/>
  <c r="K578" i="1"/>
  <c r="J578" i="1"/>
  <c r="M577" i="1"/>
  <c r="K577" i="1"/>
  <c r="J577" i="1"/>
  <c r="M576" i="1"/>
  <c r="K576" i="1"/>
  <c r="J576" i="1"/>
  <c r="M575" i="1"/>
  <c r="K575" i="1"/>
  <c r="J575" i="1"/>
  <c r="M574" i="1"/>
  <c r="K574" i="1"/>
  <c r="J574" i="1"/>
  <c r="M573" i="1"/>
  <c r="K573" i="1"/>
  <c r="J573" i="1"/>
  <c r="M572" i="1"/>
  <c r="K572" i="1"/>
  <c r="J572" i="1"/>
  <c r="M571" i="1"/>
  <c r="K571" i="1"/>
  <c r="J571" i="1"/>
  <c r="M570" i="1"/>
  <c r="K570" i="1"/>
  <c r="J570" i="1"/>
  <c r="M569" i="1"/>
  <c r="K569" i="1"/>
  <c r="J569" i="1"/>
  <c r="M568" i="1"/>
  <c r="K568" i="1"/>
  <c r="J568" i="1"/>
  <c r="M567" i="1"/>
  <c r="K567" i="1"/>
  <c r="J567" i="1"/>
  <c r="M566" i="1"/>
  <c r="K566" i="1"/>
  <c r="J566" i="1"/>
  <c r="M565" i="1"/>
  <c r="K565" i="1"/>
  <c r="J565" i="1"/>
  <c r="M564" i="1"/>
  <c r="K564" i="1"/>
  <c r="J564" i="1"/>
  <c r="M563" i="1"/>
  <c r="K563" i="1"/>
  <c r="J563" i="1"/>
  <c r="M562" i="1"/>
  <c r="K562" i="1"/>
  <c r="J562" i="1"/>
  <c r="M561" i="1"/>
  <c r="K561" i="1"/>
  <c r="J561" i="1"/>
  <c r="M560" i="1"/>
  <c r="K560" i="1"/>
  <c r="J560" i="1"/>
  <c r="M559" i="1"/>
  <c r="K559" i="1"/>
  <c r="J559" i="1"/>
  <c r="M558" i="1"/>
  <c r="K558" i="1"/>
  <c r="J558" i="1"/>
  <c r="M557" i="1"/>
  <c r="K557" i="1"/>
  <c r="J557" i="1"/>
  <c r="M556" i="1"/>
  <c r="K556" i="1"/>
  <c r="J556" i="1"/>
  <c r="M555" i="1"/>
  <c r="K555" i="1"/>
  <c r="J555" i="1"/>
  <c r="M554" i="1"/>
  <c r="K554" i="1"/>
  <c r="J554" i="1"/>
  <c r="M553" i="1"/>
  <c r="K553" i="1"/>
  <c r="J553" i="1"/>
  <c r="M552" i="1"/>
  <c r="K552" i="1"/>
  <c r="J552" i="1"/>
  <c r="M551" i="1"/>
  <c r="K551" i="1"/>
  <c r="J551" i="1"/>
  <c r="M550" i="1"/>
  <c r="K550" i="1"/>
  <c r="J550" i="1"/>
  <c r="M549" i="1"/>
  <c r="K549" i="1"/>
  <c r="J549" i="1"/>
  <c r="M548" i="1"/>
  <c r="K548" i="1"/>
  <c r="J548" i="1"/>
  <c r="M547" i="1"/>
  <c r="K547" i="1"/>
  <c r="J547" i="1"/>
  <c r="M546" i="1"/>
  <c r="K546" i="1"/>
  <c r="J546" i="1"/>
  <c r="M545" i="1"/>
  <c r="K545" i="1"/>
  <c r="J545" i="1"/>
  <c r="M544" i="1"/>
  <c r="K544" i="1"/>
  <c r="J544" i="1"/>
  <c r="M543" i="1"/>
  <c r="K543" i="1"/>
  <c r="J543" i="1"/>
  <c r="M542" i="1"/>
  <c r="K542" i="1"/>
  <c r="J542" i="1"/>
  <c r="M541" i="1"/>
  <c r="K541" i="1"/>
  <c r="J541" i="1"/>
  <c r="M540" i="1"/>
  <c r="K540" i="1"/>
  <c r="J540" i="1"/>
  <c r="M539" i="1"/>
  <c r="K539" i="1"/>
  <c r="J539" i="1"/>
  <c r="M538" i="1"/>
  <c r="K538" i="1"/>
  <c r="J538" i="1"/>
  <c r="M537" i="1"/>
  <c r="K537" i="1"/>
  <c r="J537" i="1"/>
  <c r="M536" i="1"/>
  <c r="K536" i="1"/>
  <c r="J536" i="1"/>
  <c r="M535" i="1"/>
  <c r="K535" i="1"/>
  <c r="J535" i="1"/>
  <c r="M534" i="1"/>
  <c r="K534" i="1"/>
  <c r="J534" i="1"/>
  <c r="M533" i="1"/>
  <c r="K533" i="1"/>
  <c r="J533" i="1"/>
  <c r="M532" i="1"/>
  <c r="K532" i="1"/>
  <c r="J532" i="1"/>
  <c r="M531" i="1"/>
  <c r="K531" i="1"/>
  <c r="J531" i="1"/>
  <c r="M530" i="1"/>
  <c r="K530" i="1"/>
  <c r="J530" i="1"/>
  <c r="M529" i="1"/>
  <c r="K529" i="1"/>
  <c r="J529" i="1"/>
  <c r="M528" i="1"/>
  <c r="K528" i="1"/>
  <c r="J528" i="1"/>
  <c r="M527" i="1"/>
  <c r="K527" i="1"/>
  <c r="J527" i="1"/>
  <c r="M526" i="1"/>
  <c r="K526" i="1"/>
  <c r="J526" i="1"/>
  <c r="M525" i="1"/>
  <c r="K525" i="1"/>
  <c r="J525" i="1"/>
  <c r="M524" i="1"/>
  <c r="K524" i="1"/>
  <c r="J524" i="1"/>
  <c r="M523" i="1"/>
  <c r="K523" i="1"/>
  <c r="J523" i="1"/>
  <c r="M522" i="1"/>
  <c r="K522" i="1"/>
  <c r="J522" i="1"/>
  <c r="M521" i="1"/>
  <c r="K521" i="1"/>
  <c r="J521" i="1"/>
  <c r="M520" i="1"/>
  <c r="K520" i="1"/>
  <c r="J520" i="1"/>
  <c r="M519" i="1"/>
  <c r="K519" i="1"/>
  <c r="J519" i="1"/>
  <c r="M518" i="1"/>
  <c r="K518" i="1"/>
  <c r="J518" i="1"/>
  <c r="M517" i="1"/>
  <c r="K517" i="1"/>
  <c r="J517" i="1"/>
  <c r="M516" i="1"/>
  <c r="K516" i="1"/>
  <c r="J516" i="1"/>
  <c r="M515" i="1"/>
  <c r="K515" i="1"/>
  <c r="J515" i="1"/>
  <c r="M514" i="1"/>
  <c r="K514" i="1"/>
  <c r="J514" i="1"/>
  <c r="M513" i="1"/>
  <c r="K513" i="1"/>
  <c r="J513" i="1"/>
  <c r="M512" i="1"/>
  <c r="K512" i="1"/>
  <c r="J512" i="1"/>
  <c r="M511" i="1"/>
  <c r="K511" i="1"/>
  <c r="J511" i="1"/>
  <c r="M510" i="1"/>
  <c r="K510" i="1"/>
  <c r="J510" i="1"/>
  <c r="M509" i="1"/>
  <c r="K509" i="1"/>
  <c r="J509" i="1"/>
  <c r="M508" i="1"/>
  <c r="K508" i="1"/>
  <c r="J508" i="1"/>
  <c r="M507" i="1"/>
  <c r="K507" i="1"/>
  <c r="J507" i="1"/>
  <c r="M506" i="1"/>
  <c r="K506" i="1"/>
  <c r="J506" i="1"/>
  <c r="M505" i="1"/>
  <c r="K505" i="1"/>
  <c r="J505" i="1"/>
  <c r="M504" i="1"/>
  <c r="K504" i="1"/>
  <c r="J504" i="1"/>
  <c r="M503" i="1"/>
  <c r="K503" i="1"/>
  <c r="J503" i="1"/>
  <c r="M502" i="1"/>
  <c r="K502" i="1"/>
  <c r="J502" i="1"/>
  <c r="M501" i="1"/>
  <c r="K501" i="1"/>
  <c r="J501" i="1"/>
  <c r="M500" i="1"/>
  <c r="K500" i="1"/>
  <c r="J500" i="1"/>
  <c r="M499" i="1"/>
  <c r="K499" i="1"/>
  <c r="J499" i="1"/>
  <c r="M498" i="1"/>
  <c r="K498" i="1"/>
  <c r="J498" i="1"/>
  <c r="M497" i="1"/>
  <c r="K497" i="1"/>
  <c r="J497" i="1"/>
  <c r="M496" i="1"/>
  <c r="K496" i="1"/>
  <c r="J496" i="1"/>
  <c r="M495" i="1"/>
  <c r="K495" i="1"/>
  <c r="J495" i="1"/>
  <c r="M494" i="1"/>
  <c r="K494" i="1"/>
  <c r="J494" i="1"/>
  <c r="M493" i="1"/>
  <c r="K493" i="1"/>
  <c r="J493" i="1"/>
  <c r="M492" i="1"/>
  <c r="K492" i="1"/>
  <c r="J492" i="1"/>
  <c r="M491" i="1"/>
  <c r="K491" i="1"/>
  <c r="J491" i="1"/>
  <c r="M490" i="1"/>
  <c r="K490" i="1"/>
  <c r="J490" i="1"/>
  <c r="M489" i="1"/>
  <c r="K489" i="1"/>
  <c r="J489" i="1"/>
  <c r="M488" i="1"/>
  <c r="K488" i="1"/>
  <c r="J488" i="1"/>
  <c r="M487" i="1"/>
  <c r="K487" i="1"/>
  <c r="J487" i="1"/>
  <c r="M486" i="1"/>
  <c r="K486" i="1"/>
  <c r="J486" i="1"/>
  <c r="M485" i="1"/>
  <c r="K485" i="1"/>
  <c r="J485" i="1"/>
  <c r="M484" i="1"/>
  <c r="K484" i="1"/>
  <c r="J484" i="1"/>
  <c r="M483" i="1"/>
  <c r="K483" i="1"/>
  <c r="J483" i="1"/>
  <c r="M482" i="1"/>
  <c r="K482" i="1"/>
  <c r="J482" i="1"/>
  <c r="M481" i="1"/>
  <c r="K481" i="1"/>
  <c r="J481" i="1"/>
  <c r="M480" i="1"/>
  <c r="K480" i="1"/>
  <c r="J480" i="1"/>
  <c r="M479" i="1"/>
  <c r="K479" i="1"/>
  <c r="J479" i="1"/>
  <c r="M478" i="1"/>
  <c r="K478" i="1"/>
  <c r="J478" i="1"/>
  <c r="M477" i="1"/>
  <c r="K477" i="1"/>
  <c r="J477" i="1"/>
  <c r="M476" i="1"/>
  <c r="K476" i="1"/>
  <c r="J476" i="1"/>
  <c r="M475" i="1"/>
  <c r="K475" i="1"/>
  <c r="J475" i="1"/>
  <c r="M474" i="1"/>
  <c r="K474" i="1"/>
  <c r="J474" i="1"/>
  <c r="M473" i="1"/>
  <c r="K473" i="1"/>
  <c r="J473" i="1"/>
  <c r="M472" i="1"/>
  <c r="K472" i="1"/>
  <c r="J472" i="1"/>
  <c r="M471" i="1"/>
  <c r="K471" i="1"/>
  <c r="J471" i="1"/>
  <c r="M470" i="1"/>
  <c r="K470" i="1"/>
  <c r="J470" i="1"/>
  <c r="M469" i="1"/>
  <c r="K469" i="1"/>
  <c r="J469" i="1"/>
  <c r="M468" i="1"/>
  <c r="K468" i="1"/>
  <c r="J468" i="1"/>
  <c r="M467" i="1"/>
  <c r="K467" i="1"/>
  <c r="J467" i="1"/>
  <c r="M466" i="1"/>
  <c r="K466" i="1"/>
  <c r="J466" i="1"/>
  <c r="M465" i="1"/>
  <c r="K465" i="1"/>
  <c r="J465" i="1"/>
  <c r="M464" i="1"/>
  <c r="K464" i="1"/>
  <c r="J464" i="1"/>
  <c r="M463" i="1"/>
  <c r="K463" i="1"/>
  <c r="J463" i="1"/>
  <c r="M462" i="1"/>
  <c r="K462" i="1"/>
  <c r="J462" i="1"/>
  <c r="M461" i="1"/>
  <c r="K461" i="1"/>
  <c r="J461" i="1"/>
  <c r="M460" i="1"/>
  <c r="K460" i="1"/>
  <c r="J460" i="1"/>
  <c r="M459" i="1"/>
  <c r="K459" i="1"/>
  <c r="J459" i="1"/>
  <c r="M458" i="1"/>
  <c r="K458" i="1"/>
  <c r="J458" i="1"/>
  <c r="M457" i="1"/>
  <c r="K457" i="1"/>
  <c r="J457" i="1"/>
  <c r="M456" i="1"/>
  <c r="K456" i="1"/>
  <c r="J456" i="1"/>
  <c r="M455" i="1"/>
  <c r="K455" i="1"/>
  <c r="J455" i="1"/>
  <c r="M454" i="1"/>
  <c r="K454" i="1"/>
  <c r="J454" i="1"/>
  <c r="M453" i="1"/>
  <c r="K453" i="1"/>
  <c r="J453" i="1"/>
  <c r="M452" i="1"/>
  <c r="K452" i="1"/>
  <c r="J452" i="1"/>
  <c r="M451" i="1"/>
  <c r="K451" i="1"/>
  <c r="J451" i="1"/>
  <c r="M450" i="1"/>
  <c r="K450" i="1"/>
  <c r="J450" i="1"/>
  <c r="M449" i="1"/>
  <c r="K449" i="1"/>
  <c r="J449" i="1"/>
  <c r="M448" i="1"/>
  <c r="K448" i="1"/>
  <c r="J448" i="1"/>
  <c r="M447" i="1"/>
  <c r="K447" i="1"/>
  <c r="J447" i="1"/>
  <c r="M446" i="1"/>
  <c r="K446" i="1"/>
  <c r="J446" i="1"/>
  <c r="M445" i="1"/>
  <c r="K445" i="1"/>
  <c r="J445" i="1"/>
  <c r="M444" i="1"/>
  <c r="K444" i="1"/>
  <c r="J444" i="1"/>
  <c r="M443" i="1"/>
  <c r="K443" i="1"/>
  <c r="J443" i="1"/>
  <c r="M442" i="1"/>
  <c r="K442" i="1"/>
  <c r="J442" i="1"/>
  <c r="M441" i="1"/>
  <c r="K441" i="1"/>
  <c r="J441" i="1"/>
  <c r="M440" i="1"/>
  <c r="K440" i="1"/>
  <c r="J440" i="1"/>
  <c r="M439" i="1"/>
  <c r="K439" i="1"/>
  <c r="J439" i="1"/>
  <c r="M438" i="1"/>
  <c r="K438" i="1"/>
  <c r="J438" i="1"/>
  <c r="M437" i="1"/>
  <c r="K437" i="1"/>
  <c r="J437" i="1"/>
  <c r="M436" i="1"/>
  <c r="K436" i="1"/>
  <c r="J436" i="1"/>
  <c r="M435" i="1"/>
  <c r="K435" i="1"/>
  <c r="J435" i="1"/>
  <c r="M434" i="1"/>
  <c r="K434" i="1"/>
  <c r="J434" i="1"/>
  <c r="M433" i="1"/>
  <c r="K433" i="1"/>
  <c r="J433" i="1"/>
  <c r="M432" i="1"/>
  <c r="K432" i="1"/>
  <c r="J432" i="1"/>
  <c r="M431" i="1"/>
  <c r="K431" i="1"/>
  <c r="J431" i="1"/>
  <c r="M430" i="1"/>
  <c r="K430" i="1"/>
  <c r="J430" i="1"/>
  <c r="M429" i="1"/>
  <c r="K429" i="1"/>
  <c r="J429" i="1"/>
  <c r="M428" i="1"/>
  <c r="K428" i="1"/>
  <c r="J428" i="1"/>
  <c r="M427" i="1"/>
  <c r="K427" i="1"/>
  <c r="J427" i="1"/>
  <c r="M426" i="1"/>
  <c r="K426" i="1"/>
  <c r="J426" i="1"/>
  <c r="M425" i="1"/>
  <c r="K425" i="1"/>
  <c r="J425" i="1"/>
  <c r="M424" i="1"/>
  <c r="K424" i="1"/>
  <c r="J424" i="1"/>
  <c r="M423" i="1"/>
  <c r="K423" i="1"/>
  <c r="J423" i="1"/>
  <c r="M422" i="1"/>
  <c r="K422" i="1"/>
  <c r="J422" i="1"/>
  <c r="M421" i="1"/>
  <c r="K421" i="1"/>
  <c r="J421" i="1"/>
  <c r="M420" i="1"/>
  <c r="K420" i="1"/>
  <c r="J420" i="1"/>
  <c r="M419" i="1"/>
  <c r="K419" i="1"/>
  <c r="J419" i="1"/>
  <c r="M418" i="1"/>
  <c r="K418" i="1"/>
  <c r="J418" i="1"/>
  <c r="M417" i="1"/>
  <c r="K417" i="1"/>
  <c r="J417" i="1"/>
  <c r="M416" i="1"/>
  <c r="K416" i="1"/>
  <c r="J416" i="1"/>
  <c r="M415" i="1"/>
  <c r="K415" i="1"/>
  <c r="J415" i="1"/>
  <c r="M414" i="1"/>
  <c r="K414" i="1"/>
  <c r="J414" i="1"/>
  <c r="M413" i="1"/>
  <c r="K413" i="1"/>
  <c r="J413" i="1"/>
  <c r="M412" i="1"/>
  <c r="K412" i="1"/>
  <c r="J412" i="1"/>
  <c r="M411" i="1"/>
  <c r="K411" i="1"/>
  <c r="J411" i="1"/>
  <c r="M410" i="1"/>
  <c r="K410" i="1"/>
  <c r="J410" i="1"/>
  <c r="M409" i="1"/>
  <c r="K409" i="1"/>
  <c r="J409" i="1"/>
  <c r="M408" i="1"/>
  <c r="K408" i="1"/>
  <c r="J408" i="1"/>
  <c r="M407" i="1"/>
  <c r="K407" i="1"/>
  <c r="J407" i="1"/>
  <c r="M406" i="1"/>
  <c r="K406" i="1"/>
  <c r="J406" i="1"/>
  <c r="M405" i="1"/>
  <c r="K405" i="1"/>
  <c r="J405" i="1"/>
  <c r="M404" i="1"/>
  <c r="K404" i="1"/>
  <c r="J404" i="1"/>
  <c r="M403" i="1"/>
  <c r="K403" i="1"/>
  <c r="J403" i="1"/>
  <c r="M402" i="1"/>
  <c r="K402" i="1"/>
  <c r="J402" i="1"/>
  <c r="M401" i="1"/>
  <c r="K401" i="1"/>
  <c r="J401" i="1"/>
  <c r="M400" i="1"/>
  <c r="K400" i="1"/>
  <c r="J400" i="1"/>
  <c r="M399" i="1"/>
  <c r="K399" i="1"/>
  <c r="J399" i="1"/>
  <c r="M398" i="1"/>
  <c r="K398" i="1"/>
  <c r="J398" i="1"/>
  <c r="M397" i="1"/>
  <c r="K397" i="1"/>
  <c r="J397" i="1"/>
  <c r="M396" i="1"/>
  <c r="K396" i="1"/>
  <c r="J396" i="1"/>
  <c r="M395" i="1"/>
  <c r="K395" i="1"/>
  <c r="J395" i="1"/>
  <c r="M394" i="1"/>
  <c r="K394" i="1"/>
  <c r="J394" i="1"/>
  <c r="M393" i="1"/>
  <c r="K393" i="1"/>
  <c r="J393" i="1"/>
  <c r="M392" i="1"/>
  <c r="K392" i="1"/>
  <c r="J392" i="1"/>
  <c r="M391" i="1"/>
  <c r="K391" i="1"/>
  <c r="J391" i="1"/>
  <c r="M390" i="1"/>
  <c r="K390" i="1"/>
  <c r="J390" i="1"/>
  <c r="M389" i="1"/>
  <c r="K389" i="1"/>
  <c r="J389" i="1"/>
  <c r="M388" i="1"/>
  <c r="K388" i="1"/>
  <c r="J388" i="1"/>
  <c r="M387" i="1"/>
  <c r="K387" i="1"/>
  <c r="J387" i="1"/>
  <c r="M386" i="1"/>
  <c r="K386" i="1"/>
  <c r="J386" i="1"/>
  <c r="M385" i="1"/>
  <c r="K385" i="1"/>
  <c r="J385" i="1"/>
  <c r="M384" i="1"/>
  <c r="K384" i="1"/>
  <c r="J384" i="1"/>
  <c r="M383" i="1"/>
  <c r="K383" i="1"/>
  <c r="J383" i="1"/>
  <c r="M382" i="1"/>
  <c r="K382" i="1"/>
  <c r="J382" i="1"/>
  <c r="M381" i="1"/>
  <c r="K381" i="1"/>
  <c r="J381" i="1"/>
  <c r="M380" i="1"/>
  <c r="K380" i="1"/>
  <c r="J380" i="1"/>
  <c r="M379" i="1"/>
  <c r="K379" i="1"/>
  <c r="J379" i="1"/>
  <c r="M378" i="1"/>
  <c r="K378" i="1"/>
  <c r="J378" i="1"/>
  <c r="M377" i="1"/>
  <c r="K377" i="1"/>
  <c r="J377" i="1"/>
  <c r="M376" i="1"/>
  <c r="K376" i="1"/>
  <c r="J376" i="1"/>
  <c r="M375" i="1"/>
  <c r="K375" i="1"/>
  <c r="J375" i="1"/>
  <c r="M374" i="1"/>
  <c r="K374" i="1"/>
  <c r="J374" i="1"/>
  <c r="M373" i="1"/>
  <c r="K373" i="1"/>
  <c r="J373" i="1"/>
  <c r="M372" i="1"/>
  <c r="K372" i="1"/>
  <c r="J372" i="1"/>
  <c r="M371" i="1"/>
  <c r="K371" i="1"/>
  <c r="J371" i="1"/>
  <c r="M370" i="1"/>
  <c r="K370" i="1"/>
  <c r="J370" i="1"/>
  <c r="M369" i="1"/>
  <c r="K369" i="1"/>
  <c r="J369" i="1"/>
  <c r="M368" i="1"/>
  <c r="K368" i="1"/>
  <c r="J368" i="1"/>
  <c r="M367" i="1"/>
  <c r="K367" i="1"/>
  <c r="J367" i="1"/>
  <c r="M366" i="1"/>
  <c r="K366" i="1"/>
  <c r="J366" i="1"/>
  <c r="M365" i="1"/>
  <c r="K365" i="1"/>
  <c r="J365" i="1"/>
  <c r="M364" i="1"/>
  <c r="K364" i="1"/>
  <c r="J364" i="1"/>
  <c r="M363" i="1"/>
  <c r="K363" i="1"/>
  <c r="J363" i="1"/>
  <c r="M362" i="1"/>
  <c r="K362" i="1"/>
  <c r="J362" i="1"/>
  <c r="M361" i="1"/>
  <c r="K361" i="1"/>
  <c r="J361" i="1"/>
  <c r="M360" i="1"/>
  <c r="K360" i="1"/>
  <c r="J360" i="1"/>
  <c r="M359" i="1"/>
  <c r="K359" i="1"/>
  <c r="J359" i="1"/>
  <c r="M358" i="1"/>
  <c r="K358" i="1"/>
  <c r="J358" i="1"/>
  <c r="M357" i="1"/>
  <c r="K357" i="1"/>
  <c r="J357" i="1"/>
  <c r="M356" i="1"/>
  <c r="K356" i="1"/>
  <c r="J356" i="1"/>
  <c r="M355" i="1"/>
  <c r="K355" i="1"/>
  <c r="J355" i="1"/>
  <c r="M354" i="1"/>
  <c r="K354" i="1"/>
  <c r="J354" i="1"/>
  <c r="M353" i="1"/>
  <c r="K353" i="1"/>
  <c r="J353" i="1"/>
  <c r="M352" i="1"/>
  <c r="K352" i="1"/>
  <c r="J352" i="1"/>
  <c r="M351" i="1"/>
  <c r="K351" i="1"/>
  <c r="J351" i="1"/>
  <c r="M350" i="1"/>
  <c r="K350" i="1"/>
  <c r="J350" i="1"/>
  <c r="M349" i="1"/>
  <c r="K349" i="1"/>
  <c r="J349" i="1"/>
  <c r="M348" i="1"/>
  <c r="K348" i="1"/>
  <c r="J348" i="1"/>
  <c r="M347" i="1"/>
  <c r="K347" i="1"/>
  <c r="J347" i="1"/>
  <c r="M346" i="1"/>
  <c r="K346" i="1"/>
  <c r="J346" i="1"/>
  <c r="M345" i="1"/>
  <c r="K345" i="1"/>
  <c r="J345" i="1"/>
  <c r="M344" i="1"/>
  <c r="K344" i="1"/>
  <c r="J344" i="1"/>
  <c r="M343" i="1"/>
  <c r="K343" i="1"/>
  <c r="J343" i="1"/>
  <c r="M342" i="1"/>
  <c r="K342" i="1"/>
  <c r="J342" i="1"/>
  <c r="M341" i="1"/>
  <c r="K341" i="1"/>
  <c r="J341" i="1"/>
  <c r="M340" i="1"/>
  <c r="K340" i="1"/>
  <c r="J340" i="1"/>
  <c r="M339" i="1"/>
  <c r="K339" i="1"/>
  <c r="J339" i="1"/>
  <c r="M338" i="1"/>
  <c r="K338" i="1"/>
  <c r="J338" i="1"/>
  <c r="M337" i="1"/>
  <c r="K337" i="1"/>
  <c r="J337" i="1"/>
  <c r="M336" i="1"/>
  <c r="K336" i="1"/>
  <c r="J336" i="1"/>
  <c r="M335" i="1"/>
  <c r="K335" i="1"/>
  <c r="J335" i="1"/>
  <c r="M334" i="1"/>
  <c r="K334" i="1"/>
  <c r="J334" i="1"/>
  <c r="M333" i="1"/>
  <c r="K333" i="1"/>
  <c r="J333" i="1"/>
  <c r="M332" i="1"/>
  <c r="K332" i="1"/>
  <c r="J332" i="1"/>
  <c r="M331" i="1"/>
  <c r="K331" i="1"/>
  <c r="J331" i="1"/>
  <c r="M330" i="1"/>
  <c r="K330" i="1"/>
  <c r="J330" i="1"/>
  <c r="M329" i="1"/>
  <c r="K329" i="1"/>
  <c r="J329" i="1"/>
  <c r="M328" i="1"/>
  <c r="K328" i="1"/>
  <c r="J328" i="1"/>
  <c r="M327" i="1"/>
  <c r="K327" i="1"/>
  <c r="J327" i="1"/>
  <c r="M326" i="1"/>
  <c r="K326" i="1"/>
  <c r="J326" i="1"/>
  <c r="M325" i="1"/>
  <c r="K325" i="1"/>
  <c r="J325" i="1"/>
  <c r="M324" i="1"/>
  <c r="K324" i="1"/>
  <c r="J324" i="1"/>
  <c r="M323" i="1"/>
  <c r="K323" i="1"/>
  <c r="J323" i="1"/>
  <c r="M322" i="1"/>
  <c r="K322" i="1"/>
  <c r="J322" i="1"/>
  <c r="M321" i="1"/>
  <c r="K321" i="1"/>
  <c r="J321" i="1"/>
  <c r="M320" i="1"/>
  <c r="K320" i="1"/>
  <c r="J320" i="1"/>
  <c r="M319" i="1"/>
  <c r="K319" i="1"/>
  <c r="J319" i="1"/>
  <c r="M318" i="1"/>
  <c r="K318" i="1"/>
  <c r="J318" i="1"/>
  <c r="M317" i="1"/>
  <c r="K317" i="1"/>
  <c r="J317" i="1"/>
  <c r="M316" i="1"/>
  <c r="K316" i="1"/>
  <c r="J316" i="1"/>
  <c r="M315" i="1"/>
  <c r="K315" i="1"/>
  <c r="J315" i="1"/>
  <c r="M314" i="1"/>
  <c r="K314" i="1"/>
  <c r="J314" i="1"/>
  <c r="M313" i="1"/>
  <c r="K313" i="1"/>
  <c r="J313" i="1"/>
  <c r="M312" i="1"/>
  <c r="K312" i="1"/>
  <c r="J312" i="1"/>
  <c r="M311" i="1"/>
  <c r="K311" i="1"/>
  <c r="J311" i="1"/>
  <c r="M310" i="1"/>
  <c r="K310" i="1"/>
  <c r="J310" i="1"/>
  <c r="M309" i="1"/>
  <c r="K309" i="1"/>
  <c r="J309" i="1"/>
  <c r="M308" i="1"/>
  <c r="K308" i="1"/>
  <c r="J308" i="1"/>
  <c r="M307" i="1"/>
  <c r="K307" i="1"/>
  <c r="J307" i="1"/>
  <c r="M306" i="1"/>
  <c r="K306" i="1"/>
  <c r="J306" i="1"/>
  <c r="M305" i="1"/>
  <c r="K305" i="1"/>
  <c r="J305" i="1"/>
  <c r="M304" i="1"/>
  <c r="K304" i="1"/>
  <c r="J304" i="1"/>
  <c r="M303" i="1"/>
  <c r="K303" i="1"/>
  <c r="J303" i="1"/>
  <c r="M302" i="1"/>
  <c r="K302" i="1"/>
  <c r="J302" i="1"/>
  <c r="M301" i="1"/>
  <c r="K301" i="1"/>
  <c r="J301" i="1"/>
  <c r="M300" i="1"/>
  <c r="K300" i="1"/>
  <c r="J300" i="1"/>
  <c r="M299" i="1"/>
  <c r="K299" i="1"/>
  <c r="J299" i="1"/>
  <c r="M298" i="1"/>
  <c r="K298" i="1"/>
  <c r="J298" i="1"/>
  <c r="M297" i="1"/>
  <c r="K297" i="1"/>
  <c r="J297" i="1"/>
  <c r="M296" i="1"/>
  <c r="K296" i="1"/>
  <c r="J296" i="1"/>
  <c r="M295" i="1"/>
  <c r="K295" i="1"/>
  <c r="J295" i="1"/>
  <c r="M294" i="1"/>
  <c r="K294" i="1"/>
  <c r="J294" i="1"/>
  <c r="M293" i="1"/>
  <c r="K293" i="1"/>
  <c r="J293" i="1"/>
  <c r="M292" i="1"/>
  <c r="K292" i="1"/>
  <c r="J292" i="1"/>
  <c r="M291" i="1"/>
  <c r="K291" i="1"/>
  <c r="J291" i="1"/>
  <c r="M290" i="1"/>
  <c r="K290" i="1"/>
  <c r="J290" i="1"/>
  <c r="M289" i="1"/>
  <c r="K289" i="1"/>
  <c r="J289" i="1"/>
  <c r="M288" i="1"/>
  <c r="K288" i="1"/>
  <c r="J288" i="1"/>
  <c r="M287" i="1"/>
  <c r="K287" i="1"/>
  <c r="J287" i="1"/>
  <c r="M286" i="1"/>
  <c r="K286" i="1"/>
  <c r="J286" i="1"/>
  <c r="M285" i="1"/>
  <c r="K285" i="1"/>
  <c r="J285" i="1"/>
  <c r="M284" i="1"/>
  <c r="K284" i="1"/>
  <c r="J284" i="1"/>
  <c r="M283" i="1"/>
  <c r="K283" i="1"/>
  <c r="J283" i="1"/>
  <c r="M282" i="1"/>
  <c r="K282" i="1"/>
  <c r="J282" i="1"/>
  <c r="M281" i="1"/>
  <c r="K281" i="1"/>
  <c r="J281" i="1"/>
  <c r="M280" i="1"/>
  <c r="K280" i="1"/>
  <c r="J280" i="1"/>
  <c r="M279" i="1"/>
  <c r="K279" i="1"/>
  <c r="J279" i="1"/>
  <c r="M278" i="1"/>
  <c r="K278" i="1"/>
  <c r="J278" i="1"/>
  <c r="M277" i="1"/>
  <c r="K277" i="1"/>
  <c r="J277" i="1"/>
  <c r="M276" i="1"/>
  <c r="K276" i="1"/>
  <c r="J276" i="1"/>
  <c r="M275" i="1"/>
  <c r="K275" i="1"/>
  <c r="J275" i="1"/>
  <c r="M274" i="1"/>
  <c r="K274" i="1"/>
  <c r="J274" i="1"/>
  <c r="M273" i="1"/>
  <c r="K273" i="1"/>
  <c r="J273" i="1"/>
  <c r="M272" i="1"/>
  <c r="K272" i="1"/>
  <c r="J272" i="1"/>
  <c r="M271" i="1"/>
  <c r="K271" i="1"/>
  <c r="J271" i="1"/>
  <c r="M270" i="1"/>
  <c r="K270" i="1"/>
  <c r="J270" i="1"/>
  <c r="M269" i="1"/>
  <c r="K269" i="1"/>
  <c r="J269" i="1"/>
  <c r="M268" i="1"/>
  <c r="K268" i="1"/>
  <c r="J268" i="1"/>
  <c r="M267" i="1"/>
  <c r="K267" i="1"/>
  <c r="J267" i="1"/>
  <c r="M266" i="1"/>
  <c r="K266" i="1"/>
  <c r="J266" i="1"/>
  <c r="M265" i="1"/>
  <c r="K265" i="1"/>
  <c r="J265" i="1"/>
  <c r="M264" i="1"/>
  <c r="K264" i="1"/>
  <c r="J264" i="1"/>
  <c r="M263" i="1"/>
  <c r="K263" i="1"/>
  <c r="J263" i="1"/>
  <c r="M262" i="1"/>
  <c r="K262" i="1"/>
  <c r="J262" i="1"/>
  <c r="M261" i="1"/>
  <c r="K261" i="1"/>
  <c r="J261" i="1"/>
  <c r="M260" i="1"/>
  <c r="K260" i="1"/>
  <c r="J260" i="1"/>
  <c r="M259" i="1"/>
  <c r="K259" i="1"/>
  <c r="J259" i="1"/>
  <c r="M258" i="1"/>
  <c r="K258" i="1"/>
  <c r="J258" i="1"/>
  <c r="M257" i="1"/>
  <c r="K257" i="1"/>
  <c r="J257" i="1"/>
  <c r="M256" i="1"/>
  <c r="K256" i="1"/>
  <c r="J256" i="1"/>
  <c r="M255" i="1"/>
  <c r="K255" i="1"/>
  <c r="J255" i="1"/>
  <c r="M254" i="1"/>
  <c r="K254" i="1"/>
  <c r="J254" i="1"/>
  <c r="M253" i="1"/>
  <c r="K253" i="1"/>
  <c r="J253" i="1"/>
  <c r="M252" i="1"/>
  <c r="K252" i="1"/>
  <c r="J252" i="1"/>
  <c r="M251" i="1"/>
  <c r="K251" i="1"/>
  <c r="J251" i="1"/>
  <c r="M250" i="1"/>
  <c r="K250" i="1"/>
  <c r="J250" i="1"/>
  <c r="M249" i="1"/>
  <c r="K249" i="1"/>
  <c r="J249" i="1"/>
  <c r="M248" i="1"/>
  <c r="K248" i="1"/>
  <c r="J248" i="1"/>
  <c r="M247" i="1"/>
  <c r="K247" i="1"/>
  <c r="J247" i="1"/>
  <c r="M246" i="1"/>
  <c r="K246" i="1"/>
  <c r="J246" i="1"/>
  <c r="M245" i="1"/>
  <c r="K245" i="1"/>
  <c r="J245" i="1"/>
  <c r="M244" i="1"/>
  <c r="K244" i="1"/>
  <c r="J244" i="1"/>
  <c r="M243" i="1"/>
  <c r="K243" i="1"/>
  <c r="J243" i="1"/>
  <c r="M242" i="1"/>
  <c r="K242" i="1"/>
  <c r="J242" i="1"/>
  <c r="M241" i="1"/>
  <c r="K241" i="1"/>
  <c r="J241" i="1"/>
  <c r="M240" i="1"/>
  <c r="K240" i="1"/>
  <c r="J240" i="1"/>
  <c r="M239" i="1"/>
  <c r="K239" i="1"/>
  <c r="J239" i="1"/>
  <c r="M238" i="1"/>
  <c r="K238" i="1"/>
  <c r="J238" i="1"/>
  <c r="M237" i="1"/>
  <c r="K237" i="1"/>
  <c r="J237" i="1"/>
  <c r="M236" i="1"/>
  <c r="K236" i="1"/>
  <c r="J236" i="1"/>
  <c r="M235" i="1"/>
  <c r="K235" i="1"/>
  <c r="J235" i="1"/>
  <c r="M234" i="1"/>
  <c r="K234" i="1"/>
  <c r="J234" i="1"/>
  <c r="M233" i="1"/>
  <c r="K233" i="1"/>
  <c r="J233" i="1"/>
  <c r="M232" i="1"/>
  <c r="K232" i="1"/>
  <c r="J232" i="1"/>
  <c r="M231" i="1"/>
  <c r="K231" i="1"/>
  <c r="J231" i="1"/>
  <c r="M230" i="1"/>
  <c r="K230" i="1"/>
  <c r="J230" i="1"/>
  <c r="M229" i="1"/>
  <c r="K229" i="1"/>
  <c r="J229" i="1"/>
  <c r="M228" i="1"/>
  <c r="K228" i="1"/>
  <c r="J228" i="1"/>
  <c r="M227" i="1"/>
  <c r="K227" i="1"/>
  <c r="J227" i="1"/>
  <c r="M226" i="1"/>
  <c r="K226" i="1"/>
  <c r="J226" i="1"/>
  <c r="M225" i="1"/>
  <c r="K225" i="1"/>
  <c r="J225" i="1"/>
  <c r="M224" i="1"/>
  <c r="K224" i="1"/>
  <c r="J224" i="1"/>
  <c r="M223" i="1"/>
  <c r="K223" i="1"/>
  <c r="J223" i="1"/>
  <c r="M222" i="1"/>
  <c r="K222" i="1"/>
  <c r="J222" i="1"/>
  <c r="M221" i="1"/>
  <c r="K221" i="1"/>
  <c r="J221" i="1"/>
  <c r="M220" i="1"/>
  <c r="K220" i="1"/>
  <c r="J220" i="1"/>
  <c r="M219" i="1"/>
  <c r="K219" i="1"/>
  <c r="J219" i="1"/>
  <c r="M218" i="1"/>
  <c r="K218" i="1"/>
  <c r="J218" i="1"/>
  <c r="M217" i="1"/>
  <c r="K217" i="1"/>
  <c r="J217" i="1"/>
  <c r="M216" i="1"/>
  <c r="K216" i="1"/>
  <c r="J216" i="1"/>
  <c r="M215" i="1"/>
  <c r="K215" i="1"/>
  <c r="J215" i="1"/>
  <c r="M214" i="1"/>
  <c r="K214" i="1"/>
  <c r="J214" i="1"/>
  <c r="M213" i="1"/>
  <c r="K213" i="1"/>
  <c r="J213" i="1"/>
  <c r="M212" i="1"/>
  <c r="K212" i="1"/>
  <c r="J212" i="1"/>
  <c r="M211" i="1"/>
  <c r="K211" i="1"/>
  <c r="J211" i="1"/>
  <c r="M210" i="1"/>
  <c r="K210" i="1"/>
  <c r="J210" i="1"/>
  <c r="M209" i="1"/>
  <c r="K209" i="1"/>
  <c r="J209" i="1"/>
  <c r="M208" i="1"/>
  <c r="K208" i="1"/>
  <c r="J208" i="1"/>
  <c r="M207" i="1"/>
  <c r="K207" i="1"/>
  <c r="J207" i="1"/>
  <c r="M206" i="1"/>
  <c r="K206" i="1"/>
  <c r="J206" i="1"/>
  <c r="M205" i="1"/>
  <c r="K205" i="1"/>
  <c r="J205" i="1"/>
  <c r="M204" i="1"/>
  <c r="K204" i="1"/>
  <c r="J204" i="1"/>
  <c r="M203" i="1"/>
  <c r="K203" i="1"/>
  <c r="J203" i="1"/>
  <c r="M202" i="1"/>
  <c r="K202" i="1"/>
  <c r="J202" i="1"/>
  <c r="M201" i="1"/>
  <c r="K201" i="1"/>
  <c r="J201" i="1"/>
  <c r="M200" i="1"/>
  <c r="K200" i="1"/>
  <c r="J200" i="1"/>
  <c r="M199" i="1"/>
  <c r="K199" i="1"/>
  <c r="J199" i="1"/>
  <c r="M198" i="1"/>
  <c r="K198" i="1"/>
  <c r="J198" i="1"/>
  <c r="M197" i="1"/>
  <c r="K197" i="1"/>
  <c r="J197" i="1"/>
  <c r="M196" i="1"/>
  <c r="K196" i="1"/>
  <c r="J196" i="1"/>
  <c r="M195" i="1"/>
  <c r="K195" i="1"/>
  <c r="J195" i="1"/>
  <c r="M194" i="1"/>
  <c r="K194" i="1"/>
  <c r="J194" i="1"/>
  <c r="M193" i="1"/>
  <c r="K193" i="1"/>
  <c r="J193" i="1"/>
  <c r="M192" i="1"/>
  <c r="K192" i="1"/>
  <c r="J192" i="1"/>
  <c r="M191" i="1"/>
  <c r="K191" i="1"/>
  <c r="J191" i="1"/>
  <c r="M190" i="1"/>
  <c r="K190" i="1"/>
  <c r="J190" i="1"/>
  <c r="M189" i="1"/>
  <c r="K189" i="1"/>
  <c r="J189" i="1"/>
  <c r="M188" i="1"/>
  <c r="K188" i="1"/>
  <c r="J188" i="1"/>
  <c r="M187" i="1"/>
  <c r="K187" i="1"/>
  <c r="J187" i="1"/>
  <c r="M186" i="1"/>
  <c r="K186" i="1"/>
  <c r="J186" i="1"/>
  <c r="M185" i="1"/>
  <c r="K185" i="1"/>
  <c r="J185" i="1"/>
  <c r="M184" i="1"/>
  <c r="K184" i="1"/>
  <c r="J184" i="1"/>
  <c r="M183" i="1"/>
  <c r="K183" i="1"/>
  <c r="J183" i="1"/>
  <c r="M182" i="1"/>
  <c r="K182" i="1"/>
  <c r="J182" i="1"/>
  <c r="M181" i="1"/>
  <c r="K181" i="1"/>
  <c r="J181" i="1"/>
  <c r="M180" i="1"/>
  <c r="K180" i="1"/>
  <c r="J180" i="1"/>
  <c r="M179" i="1"/>
  <c r="K179" i="1"/>
  <c r="J179" i="1"/>
  <c r="M178" i="1"/>
  <c r="K178" i="1"/>
  <c r="J178" i="1"/>
  <c r="M177" i="1"/>
  <c r="K177" i="1"/>
  <c r="J177" i="1"/>
  <c r="M176" i="1"/>
  <c r="K176" i="1"/>
  <c r="J176" i="1"/>
  <c r="M175" i="1"/>
  <c r="K175" i="1"/>
  <c r="J175" i="1"/>
  <c r="M174" i="1"/>
  <c r="K174" i="1"/>
  <c r="J174" i="1"/>
  <c r="M173" i="1"/>
  <c r="K173" i="1"/>
  <c r="J173" i="1"/>
  <c r="M172" i="1"/>
  <c r="K172" i="1"/>
  <c r="J172" i="1"/>
  <c r="M171" i="1"/>
  <c r="K171" i="1"/>
  <c r="J171" i="1"/>
  <c r="M170" i="1"/>
  <c r="K170" i="1"/>
  <c r="J170" i="1"/>
  <c r="M169" i="1"/>
  <c r="K169" i="1"/>
  <c r="J169" i="1"/>
  <c r="M168" i="1"/>
  <c r="K168" i="1"/>
  <c r="J168" i="1"/>
  <c r="M167" i="1"/>
  <c r="K167" i="1"/>
  <c r="J167" i="1"/>
  <c r="M166" i="1"/>
  <c r="K166" i="1"/>
  <c r="J166" i="1"/>
  <c r="M165" i="1"/>
  <c r="K165" i="1"/>
  <c r="J165" i="1"/>
  <c r="M164" i="1"/>
  <c r="K164" i="1"/>
  <c r="J164" i="1"/>
  <c r="M163" i="1"/>
  <c r="K163" i="1"/>
  <c r="J163" i="1"/>
  <c r="M162" i="1"/>
  <c r="K162" i="1"/>
  <c r="J162" i="1"/>
  <c r="M161" i="1"/>
  <c r="K161" i="1"/>
  <c r="J161" i="1"/>
  <c r="M160" i="1"/>
  <c r="K160" i="1"/>
  <c r="J160" i="1"/>
  <c r="M159" i="1"/>
  <c r="K159" i="1"/>
  <c r="J159" i="1"/>
  <c r="M158" i="1"/>
  <c r="K158" i="1"/>
  <c r="J158" i="1"/>
  <c r="M157" i="1"/>
  <c r="K157" i="1"/>
  <c r="J157" i="1"/>
  <c r="M156" i="1"/>
  <c r="K156" i="1"/>
  <c r="J156" i="1"/>
  <c r="M155" i="1"/>
  <c r="K155" i="1"/>
  <c r="J155" i="1"/>
  <c r="M154" i="1"/>
  <c r="K154" i="1"/>
  <c r="J154" i="1"/>
  <c r="M153" i="1"/>
  <c r="K153" i="1"/>
  <c r="J153" i="1"/>
  <c r="M152" i="1"/>
  <c r="K152" i="1"/>
  <c r="J152" i="1"/>
  <c r="M151" i="1"/>
  <c r="K151" i="1"/>
  <c r="J151" i="1"/>
  <c r="M150" i="1"/>
  <c r="K150" i="1"/>
  <c r="J150" i="1"/>
  <c r="M149" i="1"/>
  <c r="K149" i="1"/>
  <c r="J149" i="1"/>
  <c r="M148" i="1"/>
  <c r="K148" i="1"/>
  <c r="J148" i="1"/>
  <c r="M147" i="1"/>
  <c r="K147" i="1"/>
  <c r="J147" i="1"/>
  <c r="M146" i="1"/>
  <c r="K146" i="1"/>
  <c r="J146" i="1"/>
  <c r="M145" i="1"/>
  <c r="K145" i="1"/>
  <c r="J145" i="1"/>
  <c r="M144" i="1"/>
  <c r="K144" i="1"/>
  <c r="J144" i="1"/>
  <c r="M143" i="1"/>
  <c r="K143" i="1"/>
  <c r="J143" i="1"/>
  <c r="M142" i="1"/>
  <c r="K142" i="1"/>
  <c r="J142" i="1"/>
  <c r="M141" i="1"/>
  <c r="K141" i="1"/>
  <c r="J141" i="1"/>
  <c r="M140" i="1"/>
  <c r="K140" i="1"/>
  <c r="J140" i="1"/>
  <c r="M139" i="1"/>
  <c r="K139" i="1"/>
  <c r="J139" i="1"/>
  <c r="M138" i="1"/>
  <c r="K138" i="1"/>
  <c r="J138" i="1"/>
  <c r="M137" i="1"/>
  <c r="K137" i="1"/>
  <c r="J137" i="1"/>
  <c r="M136" i="1"/>
  <c r="K136" i="1"/>
  <c r="J136" i="1"/>
  <c r="M135" i="1"/>
  <c r="K135" i="1"/>
  <c r="J135" i="1"/>
  <c r="M134" i="1"/>
  <c r="K134" i="1"/>
  <c r="J134" i="1"/>
  <c r="M133" i="1"/>
  <c r="K133" i="1"/>
  <c r="J133" i="1"/>
  <c r="M132" i="1"/>
  <c r="K132" i="1"/>
  <c r="J132" i="1"/>
  <c r="M131" i="1"/>
  <c r="K131" i="1"/>
  <c r="J131" i="1"/>
  <c r="M130" i="1"/>
  <c r="K130" i="1"/>
  <c r="J130" i="1"/>
  <c r="M129" i="1"/>
  <c r="K129" i="1"/>
  <c r="J129" i="1"/>
  <c r="M128" i="1"/>
  <c r="K128" i="1"/>
  <c r="J128" i="1"/>
  <c r="M127" i="1"/>
  <c r="K127" i="1"/>
  <c r="J127" i="1"/>
  <c r="M126" i="1"/>
  <c r="K126" i="1"/>
  <c r="J126" i="1"/>
  <c r="M125" i="1"/>
  <c r="K125" i="1"/>
  <c r="J125" i="1"/>
  <c r="M124" i="1"/>
  <c r="K124" i="1"/>
  <c r="J124" i="1"/>
  <c r="M123" i="1"/>
  <c r="K123" i="1"/>
  <c r="J123" i="1"/>
  <c r="M122" i="1"/>
  <c r="K122" i="1"/>
  <c r="J122" i="1"/>
  <c r="M121" i="1"/>
  <c r="K121" i="1"/>
  <c r="J121" i="1"/>
  <c r="M120" i="1"/>
  <c r="K120" i="1"/>
  <c r="J120" i="1"/>
  <c r="M119" i="1"/>
  <c r="K119" i="1"/>
  <c r="J119" i="1"/>
  <c r="M118" i="1"/>
  <c r="K118" i="1"/>
  <c r="J118" i="1"/>
  <c r="M117" i="1"/>
  <c r="K117" i="1"/>
  <c r="J117" i="1"/>
  <c r="M116" i="1"/>
  <c r="K116" i="1"/>
  <c r="J116" i="1"/>
  <c r="M115" i="1"/>
  <c r="K115" i="1"/>
  <c r="J115" i="1"/>
  <c r="M114" i="1"/>
  <c r="K114" i="1"/>
  <c r="J114" i="1"/>
  <c r="M113" i="1"/>
  <c r="K113" i="1"/>
  <c r="J113" i="1"/>
  <c r="M112" i="1"/>
  <c r="K112" i="1"/>
  <c r="J112" i="1"/>
  <c r="M111" i="1"/>
  <c r="K111" i="1"/>
  <c r="J111" i="1"/>
  <c r="M110" i="1"/>
  <c r="K110" i="1"/>
  <c r="J110" i="1"/>
  <c r="M109" i="1"/>
  <c r="K109" i="1"/>
  <c r="J109" i="1"/>
  <c r="M108" i="1"/>
  <c r="K108" i="1"/>
  <c r="J108" i="1"/>
  <c r="M107" i="1"/>
  <c r="K107" i="1"/>
  <c r="J107" i="1"/>
  <c r="M106" i="1"/>
  <c r="K106" i="1"/>
  <c r="J106" i="1"/>
  <c r="M105" i="1"/>
  <c r="K105" i="1"/>
  <c r="J105" i="1"/>
  <c r="M104" i="1"/>
  <c r="K104" i="1"/>
  <c r="J104" i="1"/>
  <c r="M103" i="1"/>
  <c r="K103" i="1"/>
  <c r="J103" i="1"/>
  <c r="M102" i="1"/>
  <c r="K102" i="1"/>
  <c r="J102" i="1"/>
  <c r="M101" i="1"/>
  <c r="K101" i="1"/>
  <c r="J101" i="1"/>
  <c r="M100" i="1"/>
  <c r="K100" i="1"/>
  <c r="J100" i="1"/>
  <c r="M99" i="1"/>
  <c r="K99" i="1"/>
  <c r="J99" i="1"/>
  <c r="M98" i="1"/>
  <c r="K98" i="1"/>
  <c r="J98" i="1"/>
  <c r="M97" i="1"/>
  <c r="K97" i="1"/>
  <c r="J97" i="1"/>
  <c r="M96" i="1"/>
  <c r="K96" i="1"/>
  <c r="J96" i="1"/>
  <c r="M95" i="1"/>
  <c r="K95" i="1"/>
  <c r="J95" i="1"/>
  <c r="M94" i="1"/>
  <c r="K94" i="1"/>
  <c r="J94" i="1"/>
  <c r="M93" i="1"/>
  <c r="K93" i="1"/>
  <c r="J93" i="1"/>
  <c r="M92" i="1"/>
  <c r="K92" i="1"/>
  <c r="J92" i="1"/>
  <c r="M91" i="1"/>
  <c r="K91" i="1"/>
  <c r="J91" i="1"/>
  <c r="M90" i="1"/>
  <c r="K90" i="1"/>
  <c r="J90" i="1"/>
  <c r="M89" i="1"/>
  <c r="K89" i="1"/>
  <c r="J89" i="1"/>
  <c r="M88" i="1"/>
  <c r="K88" i="1"/>
  <c r="J88" i="1"/>
  <c r="M87" i="1"/>
  <c r="K87" i="1"/>
  <c r="J87" i="1"/>
  <c r="M86" i="1"/>
  <c r="K86" i="1"/>
  <c r="J86" i="1"/>
  <c r="M85" i="1"/>
  <c r="K85" i="1"/>
  <c r="J85" i="1"/>
  <c r="M84" i="1"/>
  <c r="K84" i="1"/>
  <c r="J84" i="1"/>
  <c r="M83" i="1"/>
  <c r="K83" i="1"/>
  <c r="J83" i="1"/>
  <c r="M82" i="1"/>
  <c r="K82" i="1"/>
  <c r="J82" i="1"/>
  <c r="M81" i="1"/>
  <c r="K81" i="1"/>
  <c r="J81" i="1"/>
  <c r="M80" i="1"/>
  <c r="K80" i="1"/>
  <c r="J80" i="1"/>
  <c r="M79" i="1"/>
  <c r="K79" i="1"/>
  <c r="J79" i="1"/>
  <c r="M78" i="1"/>
  <c r="K78" i="1"/>
  <c r="J78" i="1"/>
  <c r="M77" i="1"/>
  <c r="K77" i="1"/>
  <c r="J77" i="1"/>
  <c r="M76" i="1"/>
  <c r="K76" i="1"/>
  <c r="J76" i="1"/>
  <c r="M75" i="1"/>
  <c r="K75" i="1"/>
  <c r="J75" i="1"/>
  <c r="M74" i="1"/>
  <c r="K74" i="1"/>
  <c r="J74" i="1"/>
  <c r="M73" i="1"/>
  <c r="K73" i="1"/>
  <c r="J73" i="1"/>
  <c r="M72" i="1"/>
  <c r="K72" i="1"/>
  <c r="J72" i="1"/>
  <c r="M71" i="1"/>
  <c r="K71" i="1"/>
  <c r="J71" i="1"/>
  <c r="M70" i="1"/>
  <c r="K70" i="1"/>
  <c r="J70" i="1"/>
  <c r="M69" i="1"/>
  <c r="K69" i="1"/>
  <c r="J69" i="1"/>
  <c r="M68" i="1"/>
  <c r="K68" i="1"/>
  <c r="J68" i="1"/>
  <c r="M67" i="1"/>
  <c r="K67" i="1"/>
  <c r="J67" i="1"/>
  <c r="M66" i="1"/>
  <c r="K66" i="1"/>
  <c r="J66" i="1"/>
  <c r="M65" i="1"/>
  <c r="K65" i="1"/>
  <c r="J65" i="1"/>
  <c r="M64" i="1"/>
  <c r="K64" i="1"/>
  <c r="J64" i="1"/>
  <c r="M63" i="1"/>
  <c r="K63" i="1"/>
  <c r="J63" i="1"/>
  <c r="M62" i="1"/>
  <c r="K62" i="1"/>
  <c r="J62" i="1"/>
  <c r="M61" i="1"/>
  <c r="K61" i="1"/>
  <c r="J61" i="1"/>
  <c r="M60" i="1"/>
  <c r="K60" i="1"/>
  <c r="J60" i="1"/>
  <c r="M59" i="1"/>
  <c r="K59" i="1"/>
  <c r="J59" i="1"/>
  <c r="M58" i="1"/>
  <c r="K58" i="1"/>
  <c r="J58" i="1"/>
  <c r="M57" i="1"/>
  <c r="K57" i="1"/>
  <c r="J57" i="1"/>
  <c r="M56" i="1"/>
  <c r="K56" i="1"/>
  <c r="J56" i="1"/>
  <c r="M55" i="1"/>
  <c r="K55" i="1"/>
  <c r="J55" i="1"/>
  <c r="M54" i="1"/>
  <c r="K54" i="1"/>
  <c r="J54" i="1"/>
  <c r="M53" i="1"/>
  <c r="K53" i="1"/>
  <c r="J53" i="1"/>
  <c r="M52" i="1"/>
  <c r="K52" i="1"/>
  <c r="J52" i="1"/>
  <c r="M51" i="1"/>
  <c r="K51" i="1"/>
  <c r="J51" i="1"/>
  <c r="M50" i="1"/>
  <c r="K50" i="1"/>
  <c r="J50" i="1"/>
  <c r="M49" i="1"/>
  <c r="K49" i="1"/>
  <c r="J49" i="1"/>
  <c r="M48" i="1"/>
  <c r="K48" i="1"/>
  <c r="J48" i="1"/>
  <c r="M47" i="1"/>
  <c r="K47" i="1"/>
  <c r="J47" i="1"/>
  <c r="M46" i="1"/>
  <c r="K46" i="1"/>
  <c r="J46" i="1"/>
  <c r="M45" i="1"/>
  <c r="K45" i="1"/>
  <c r="J45" i="1"/>
  <c r="M44" i="1"/>
  <c r="K44" i="1"/>
  <c r="J44" i="1"/>
  <c r="M43" i="1"/>
  <c r="K43" i="1"/>
  <c r="J43" i="1"/>
  <c r="M42" i="1"/>
  <c r="K42" i="1"/>
  <c r="J42" i="1"/>
  <c r="M41" i="1"/>
  <c r="K41" i="1"/>
  <c r="J41" i="1"/>
  <c r="M40" i="1"/>
  <c r="K40" i="1"/>
  <c r="J40" i="1"/>
  <c r="M39" i="1"/>
  <c r="K39" i="1"/>
  <c r="J39" i="1"/>
  <c r="M38" i="1"/>
  <c r="K38" i="1"/>
  <c r="J38" i="1"/>
  <c r="M37" i="1"/>
  <c r="K37" i="1"/>
  <c r="J37" i="1"/>
  <c r="M36" i="1"/>
  <c r="K36" i="1"/>
  <c r="J36" i="1"/>
  <c r="M35" i="1"/>
  <c r="K35" i="1"/>
  <c r="J35" i="1"/>
  <c r="M34" i="1"/>
  <c r="K34" i="1"/>
  <c r="J34" i="1"/>
  <c r="M33" i="1"/>
  <c r="K33" i="1"/>
  <c r="J33" i="1"/>
  <c r="M32" i="1"/>
  <c r="K32" i="1"/>
  <c r="J32" i="1"/>
  <c r="M31" i="1"/>
  <c r="K31" i="1"/>
  <c r="J31" i="1"/>
  <c r="M30" i="1"/>
  <c r="K30" i="1"/>
  <c r="J30" i="1"/>
  <c r="M29" i="1"/>
  <c r="K29" i="1"/>
  <c r="J29" i="1"/>
  <c r="M28" i="1"/>
  <c r="K28" i="1"/>
  <c r="J28" i="1"/>
  <c r="M27" i="1"/>
  <c r="K27" i="1"/>
  <c r="J27" i="1"/>
  <c r="M26" i="1"/>
  <c r="K26" i="1"/>
  <c r="J26" i="1"/>
  <c r="M25" i="1"/>
  <c r="K25" i="1"/>
  <c r="J25" i="1"/>
  <c r="M24" i="1"/>
  <c r="K24" i="1"/>
  <c r="J24" i="1"/>
  <c r="M23" i="1"/>
  <c r="K23" i="1"/>
  <c r="J23" i="1"/>
  <c r="M22" i="1"/>
  <c r="K22" i="1"/>
  <c r="J22" i="1"/>
  <c r="M21" i="1"/>
  <c r="K21" i="1"/>
  <c r="J21" i="1"/>
  <c r="M20" i="1"/>
  <c r="K20" i="1"/>
  <c r="J20" i="1"/>
  <c r="M19" i="1"/>
  <c r="K19" i="1"/>
  <c r="J19" i="1"/>
  <c r="M18" i="1"/>
  <c r="K18" i="1"/>
  <c r="J18" i="1"/>
  <c r="M17" i="1"/>
  <c r="K17" i="1"/>
  <c r="J17" i="1"/>
  <c r="M16" i="1"/>
  <c r="K16" i="1"/>
  <c r="J16" i="1"/>
  <c r="M15" i="1"/>
  <c r="K15" i="1"/>
  <c r="J15" i="1"/>
  <c r="M14" i="1"/>
  <c r="K14" i="1"/>
  <c r="J14" i="1"/>
  <c r="M13" i="1"/>
  <c r="K13" i="1"/>
  <c r="J13" i="1"/>
  <c r="M12" i="1"/>
  <c r="K12" i="1"/>
  <c r="J12" i="1"/>
  <c r="M11" i="1"/>
  <c r="K11" i="1"/>
  <c r="J11" i="1"/>
  <c r="M10" i="1"/>
  <c r="K10" i="1"/>
  <c r="J10" i="1"/>
  <c r="M9" i="1"/>
  <c r="K9" i="1"/>
  <c r="J9" i="1"/>
  <c r="M8" i="1"/>
  <c r="K8" i="1"/>
  <c r="J8" i="1"/>
  <c r="M7" i="1"/>
  <c r="K7" i="1"/>
  <c r="J7" i="1"/>
  <c r="M6" i="1"/>
  <c r="K6" i="1"/>
  <c r="J6" i="1"/>
  <c r="M5" i="1"/>
  <c r="K5" i="1"/>
  <c r="J5" i="1"/>
  <c r="M4" i="1"/>
  <c r="K4" i="1"/>
  <c r="J4" i="1"/>
  <c r="M3" i="1"/>
  <c r="K3" i="1"/>
  <c r="J3" i="1"/>
  <c r="M2" i="1"/>
  <c r="K2"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<sst xmlns="http://schemas.openxmlformats.org/spreadsheetml/2006/main" count="4076" uniqueCount="1058">
  <si>
    <t>Call number</t>
  </si>
  <si>
    <t>Customer ID</t>
  </si>
  <si>
    <t>Duration</t>
  </si>
  <si>
    <t>Representative</t>
  </si>
  <si>
    <t>Date of Call</t>
  </si>
  <si>
    <t>Purchase Amount</t>
  </si>
  <si>
    <t>Satisfaction Rating</t>
  </si>
  <si>
    <t>Financial Year</t>
  </si>
  <si>
    <t>Day of week</t>
  </si>
  <si>
    <t>Duration Bucket</t>
  </si>
  <si>
    <t>Rating rounded</t>
  </si>
  <si>
    <t>Call_7271</t>
  </si>
  <si>
    <t>C0003</t>
  </si>
  <si>
    <t>R05</t>
  </si>
  <si>
    <t>1 to 2 hours</t>
  </si>
  <si>
    <t>Call_7272</t>
  </si>
  <si>
    <t>C0004</t>
  </si>
  <si>
    <t>Call_7273</t>
  </si>
  <si>
    <t>C0005</t>
  </si>
  <si>
    <t>R02</t>
  </si>
  <si>
    <t>Call_7274</t>
  </si>
  <si>
    <t>C0014</t>
  </si>
  <si>
    <t>Call_7275</t>
  </si>
  <si>
    <t>C0011</t>
  </si>
  <si>
    <t>R01</t>
  </si>
  <si>
    <t>More than 2 hours</t>
  </si>
  <si>
    <t>Call_7276</t>
  </si>
  <si>
    <t>30 to 60 mins</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</si>
  <si>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</si>
  <si>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</si>
  <si>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</si>
  <si>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</si>
  <si>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</si>
  <si>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</si>
  <si>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</si>
  <si>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</si>
  <si>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</si>
  <si>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</si>
  <si>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</si>
  <si>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</si>
  <si>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</si>
  <si>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</si>
  <si>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</si>
  <si>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</si>
  <si>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</si>
  <si>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</si>
  <si>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</si>
  <si>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10 to 30 mins</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</si>
  <si>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</si>
  <si>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</si>
  <si>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</si>
  <si>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</si>
  <si>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</si>
  <si>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</si>
  <si>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</si>
  <si>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</si>
  <si>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</si>
  <si>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</si>
  <si>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</si>
  <si>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</si>
  <si>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</si>
  <si>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</si>
  <si>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</si>
  <si>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</si>
  <si>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</si>
  <si>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</si>
  <si>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</si>
  <si>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</si>
  <si>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</si>
  <si>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</si>
  <si>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</si>
  <si>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</si>
  <si>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</si>
  <si>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</si>
  <si>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</si>
  <si>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</si>
  <si>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</si>
  <si>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</si>
  <si>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</si>
  <si>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</si>
  <si>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</si>
  <si>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</si>
  <si>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</si>
  <si>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</si>
  <si>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</si>
  <si>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</si>
  <si>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</si>
  <si>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</si>
  <si>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</si>
  <si>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</si>
  <si>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</si>
  <si>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</si>
  <si>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</si>
  <si>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</si>
  <si>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</si>
  <si>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</si>
  <si>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</si>
  <si>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</si>
  <si>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</si>
  <si>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</si>
  <si>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</si>
  <si>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</si>
  <si>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</si>
  <si>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</si>
  <si>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</si>
  <si>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</si>
  <si>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</si>
  <si>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</si>
  <si>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</si>
  <si>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</si>
  <si>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</si>
  <si>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</si>
  <si>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</si>
  <si>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</si>
  <si>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</si>
  <si>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</si>
  <si>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</si>
  <si>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</si>
  <si>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</si>
  <si>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</si>
  <si>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</si>
  <si>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</si>
  <si>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</si>
  <si>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</si>
  <si>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</si>
  <si>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</si>
  <si>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</si>
  <si>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</si>
  <si>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</si>
  <si>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</si>
  <si>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</si>
  <si>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</si>
  <si>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</si>
  <si>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</si>
  <si>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</si>
  <si>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</si>
  <si>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</si>
  <si>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</si>
  <si>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</si>
  <si>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</si>
  <si>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</si>
  <si>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</si>
  <si>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</si>
  <si>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</si>
  <si>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</si>
  <si>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</si>
  <si>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</si>
  <si>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</si>
  <si>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</si>
  <si>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</si>
  <si>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</si>
  <si>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</si>
  <si>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</si>
  <si>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</si>
  <si>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</si>
  <si>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</si>
  <si>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</si>
  <si>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</si>
  <si>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</si>
  <si>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</si>
  <si>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</si>
  <si>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</si>
  <si>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</si>
  <si>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</si>
  <si>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</si>
  <si>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</si>
  <si>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</si>
  <si>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</si>
  <si>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</si>
  <si>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</si>
  <si>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</si>
  <si>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</si>
  <si>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</si>
  <si>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</si>
  <si>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</si>
  <si>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</si>
  <si>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</si>
  <si>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</si>
  <si>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</si>
  <si>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</si>
  <si>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</si>
  <si>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</si>
  <si>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</si>
  <si>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</si>
  <si>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</si>
  <si>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</si>
  <si>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</si>
  <si>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</si>
  <si>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</si>
  <si>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</si>
  <si>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</si>
  <si>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</si>
  <si>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</si>
  <si>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</si>
  <si>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</si>
  <si>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</si>
  <si>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</si>
  <si>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</si>
  <si>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</si>
  <si>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</si>
  <si>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</si>
  <si>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</si>
  <si>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</si>
  <si>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</si>
  <si>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</si>
  <si>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</si>
  <si>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</si>
  <si>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</si>
  <si>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</si>
  <si>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</si>
  <si>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</si>
  <si>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</si>
  <si>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</si>
  <si>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</si>
  <si>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</si>
  <si>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</si>
  <si>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</si>
  <si>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</si>
  <si>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</si>
  <si>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</si>
  <si>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</si>
  <si>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</si>
  <si>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</si>
  <si>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</si>
  <si>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</si>
  <si>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</si>
  <si>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</si>
  <si>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</si>
  <si>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</si>
  <si>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</si>
  <si>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</si>
  <si>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</si>
  <si>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</si>
  <si>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</si>
  <si>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</si>
  <si>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</si>
  <si>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</si>
  <si>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</si>
  <si>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</si>
  <si>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</si>
  <si>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</si>
  <si>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</si>
  <si>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</si>
  <si>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</si>
  <si>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</si>
  <si>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</si>
  <si>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</si>
  <si>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</si>
  <si>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</si>
  <si>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</si>
  <si>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</si>
  <si>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</si>
  <si>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</si>
  <si>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</si>
  <si>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</si>
  <si>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</si>
  <si>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</si>
  <si>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</si>
  <si>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</si>
  <si>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</si>
  <si>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</si>
  <si>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</si>
  <si>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</si>
  <si>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</si>
  <si>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</si>
  <si>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</si>
  <si>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</si>
  <si>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</si>
  <si>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</si>
  <si>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</si>
  <si>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</si>
  <si>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</si>
  <si>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</si>
  <si>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</si>
  <si>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</si>
  <si>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</si>
  <si>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</si>
  <si>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</si>
  <si>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</si>
  <si>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</si>
  <si>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</si>
  <si>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</si>
  <si>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</si>
  <si>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</si>
  <si>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</si>
  <si>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</si>
  <si>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</si>
  <si>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</si>
  <si>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</si>
  <si>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</si>
  <si>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</si>
  <si>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</si>
  <si>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</si>
  <si>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</si>
  <si>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</si>
  <si>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</si>
  <si>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</si>
  <si>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</si>
  <si>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</si>
  <si>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</si>
  <si>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</si>
  <si>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</si>
  <si>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</si>
  <si>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</si>
  <si>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</si>
  <si>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</si>
  <si>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</si>
  <si>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</si>
  <si>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</si>
  <si>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</si>
  <si>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</si>
  <si>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</si>
  <si>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</si>
  <si>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</si>
  <si>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</si>
  <si>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</si>
  <si>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</si>
  <si>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</si>
  <si>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</si>
  <si>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</si>
  <si>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</si>
  <si>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</si>
  <si>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</si>
  <si>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</si>
  <si>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</si>
  <si>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</si>
  <si>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</si>
  <si>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</si>
  <si>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</si>
  <si>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</si>
  <si>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</si>
  <si>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</si>
  <si>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</si>
  <si>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</si>
  <si>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</si>
  <si>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</si>
  <si>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</si>
  <si>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</si>
  <si>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</si>
  <si>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</si>
  <si>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</si>
  <si>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</si>
  <si>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</si>
  <si>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</si>
  <si>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</si>
  <si>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</si>
  <si>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</si>
  <si>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</si>
  <si>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</si>
  <si>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</si>
  <si>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</si>
  <si>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</si>
  <si>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</si>
  <si>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</si>
  <si>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</si>
  <si>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</si>
  <si>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</si>
  <si>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</si>
  <si>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</si>
  <si>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</si>
  <si>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</si>
  <si>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</si>
  <si>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</si>
  <si>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</si>
  <si>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</si>
  <si>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</si>
  <si>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</si>
  <si>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</si>
  <si>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</si>
  <si>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</si>
  <si>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</si>
  <si>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</si>
  <si>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</si>
  <si>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</si>
  <si>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</si>
  <si>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</si>
  <si>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</si>
  <si>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</si>
  <si>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</si>
  <si>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</si>
  <si>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</si>
  <si>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</si>
  <si>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</si>
  <si>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</si>
  <si>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</si>
  <si>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</si>
  <si>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</si>
  <si>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</si>
  <si>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</si>
  <si>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</si>
  <si>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</si>
  <si>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</si>
  <si>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</si>
  <si>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</si>
  <si>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</si>
  <si>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</si>
  <si>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</si>
  <si>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</si>
  <si>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</si>
  <si>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</si>
  <si>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</si>
  <si>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</si>
  <si>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</si>
  <si>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</si>
  <si>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</si>
  <si>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</si>
  <si>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</si>
  <si>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</si>
  <si>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</si>
  <si>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</si>
  <si>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</si>
  <si>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</si>
  <si>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</si>
  <si>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</si>
  <si>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</si>
  <si>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</si>
  <si>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</si>
  <si>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</si>
  <si>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</si>
  <si>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</si>
  <si>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</si>
  <si>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</si>
  <si>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</si>
  <si>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</si>
  <si>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</si>
  <si>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</si>
  <si>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</si>
  <si>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</si>
  <si>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</si>
  <si>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</si>
  <si>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</si>
  <si>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</si>
  <si>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</si>
  <si>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</si>
  <si>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</si>
  <si>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</si>
  <si>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</si>
  <si>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</si>
  <si>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</si>
  <si>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</si>
  <si>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</si>
  <si>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</si>
  <si>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</si>
  <si>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</si>
  <si>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</si>
  <si>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</si>
  <si>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</si>
  <si>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</si>
  <si>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</si>
  <si>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</si>
  <si>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</si>
  <si>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</si>
  <si>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</si>
  <si>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</si>
  <si>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</si>
  <si>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</si>
  <si>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</si>
  <si>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</si>
  <si>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</si>
  <si>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</si>
  <si>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</si>
  <si>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</si>
  <si>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</si>
  <si>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</si>
  <si>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</si>
  <si>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</si>
  <si>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</si>
  <si>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</si>
  <si>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</si>
  <si>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</si>
  <si>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</si>
  <si>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</si>
  <si>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</si>
  <si>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</si>
  <si>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</si>
  <si>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</si>
  <si>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</si>
  <si>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</si>
  <si>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</si>
  <si>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</si>
  <si>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</si>
  <si>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</si>
  <si>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</si>
  <si>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</si>
  <si>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</si>
  <si>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</si>
  <si>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</si>
  <si>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</si>
  <si>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</si>
  <si>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</si>
  <si>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</si>
  <si>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</si>
  <si>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</si>
  <si>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</si>
  <si>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</si>
  <si>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</si>
  <si>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</si>
  <si>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</si>
  <si>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</si>
  <si>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</si>
  <si>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</si>
  <si>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</si>
  <si>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</si>
  <si>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</si>
  <si>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</si>
  <si>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</si>
  <si>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</si>
  <si>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</si>
  <si>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</si>
  <si>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</si>
  <si>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</si>
  <si>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</si>
  <si>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</si>
  <si>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</si>
  <si>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</si>
  <si>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</si>
  <si>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</si>
  <si>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</si>
  <si>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</si>
  <si>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</si>
  <si>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</si>
  <si>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</si>
  <si>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</si>
  <si>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</si>
  <si>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</si>
  <si>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</si>
  <si>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</si>
  <si>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</si>
  <si>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</si>
  <si>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</si>
  <si>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</si>
  <si>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</si>
  <si>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</si>
  <si>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</si>
  <si>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</si>
  <si>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</si>
  <si>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</si>
  <si>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</si>
  <si>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</si>
  <si>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</si>
  <si>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</si>
  <si>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</si>
  <si>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</si>
  <si>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</si>
  <si>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</si>
  <si>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</si>
  <si>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</si>
  <si>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</si>
  <si>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</si>
  <si>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</si>
  <si>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</si>
  <si>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</si>
  <si>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</si>
  <si>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</si>
  <si>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</si>
  <si>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</si>
  <si>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</si>
  <si>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</si>
  <si>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</si>
  <si>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</si>
  <si>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</si>
  <si>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</si>
  <si>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</si>
  <si>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</si>
  <si>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</si>
  <si>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</si>
  <si>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</si>
  <si>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</si>
  <si>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</si>
  <si>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</si>
  <si>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</si>
  <si>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</si>
  <si>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</si>
  <si>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</si>
  <si>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</si>
  <si>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</si>
  <si>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</si>
  <si>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</si>
  <si>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</si>
  <si>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</si>
  <si>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</si>
  <si>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</si>
  <si>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</si>
  <si>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</si>
  <si>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</si>
  <si>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</si>
  <si>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</si>
  <si>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</si>
  <si>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</si>
  <si>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</si>
  <si>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</si>
  <si>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</si>
  <si>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</si>
  <si>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</si>
  <si>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</si>
  <si>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</si>
  <si>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</si>
  <si>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</si>
  <si>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</si>
  <si>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</si>
  <si>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</si>
  <si>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</si>
  <si>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</si>
  <si>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</si>
  <si>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</si>
  <si>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</si>
  <si>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</si>
  <si>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</si>
  <si>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</si>
  <si>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</si>
  <si>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</si>
  <si>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</si>
  <si>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</si>
  <si>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</si>
  <si>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</si>
  <si>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</si>
  <si>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</si>
  <si>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</si>
  <si>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</si>
  <si>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</si>
  <si>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</si>
  <si>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</si>
  <si>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</si>
  <si>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</si>
  <si>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</si>
  <si>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</si>
  <si>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</si>
  <si>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</si>
  <si>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</si>
  <si>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</si>
  <si>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</si>
  <si>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</si>
  <si>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</si>
  <si>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</si>
  <si>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</si>
  <si>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</si>
  <si>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</si>
  <si>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</si>
  <si>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</si>
  <si>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</si>
  <si>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</si>
  <si>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</si>
  <si>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</si>
  <si>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</si>
  <si>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</si>
  <si>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</si>
  <si>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</si>
  <si>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</si>
  <si>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</si>
  <si>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</si>
  <si>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</si>
  <si>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</si>
  <si>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</si>
  <si>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</si>
  <si>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</si>
  <si>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</si>
  <si>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</si>
  <si>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</si>
  <si>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</si>
  <si>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</si>
  <si>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</si>
  <si>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</si>
  <si>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</si>
  <si>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</si>
  <si>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</si>
  <si>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</si>
  <si>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</si>
  <si>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</si>
  <si>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</si>
  <si>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</si>
  <si>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</si>
  <si>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</si>
  <si>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</si>
  <si>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</si>
  <si>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</si>
  <si>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</si>
  <si>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</si>
  <si>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</si>
  <si>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</si>
  <si>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</si>
  <si>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</si>
  <si>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</si>
  <si>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</si>
  <si>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</si>
  <si>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</si>
  <si>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</si>
  <si>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</si>
  <si>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</si>
  <si>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</si>
  <si>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</si>
  <si>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</si>
  <si>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</si>
  <si>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</si>
  <si>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</si>
  <si>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</si>
  <si>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</si>
  <si>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</si>
  <si>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</si>
  <si>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</si>
  <si>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</si>
  <si>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</si>
  <si>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</si>
  <si>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</si>
  <si>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</si>
  <si>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</si>
  <si>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</si>
  <si>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</si>
  <si>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</si>
  <si>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</si>
  <si>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</si>
  <si>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</si>
  <si>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</si>
  <si>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</si>
  <si>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</si>
  <si>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</si>
  <si>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</si>
  <si>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</si>
  <si>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</si>
  <si>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</si>
  <si>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</si>
  <si>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</si>
  <si>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</si>
  <si>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</si>
  <si>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</si>
  <si>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</si>
  <si>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</si>
  <si>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</si>
  <si>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</si>
  <si>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</si>
  <si>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</si>
  <si>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</si>
  <si>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</si>
  <si>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</si>
  <si>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</si>
  <si>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</si>
  <si>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</si>
  <si>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</si>
  <si>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</si>
  <si>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</si>
  <si>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</si>
  <si>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</si>
  <si>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</si>
  <si>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</si>
  <si>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</si>
  <si>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</si>
  <si>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</si>
  <si>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</si>
  <si>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</si>
  <si>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</si>
  <si>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</si>
  <si>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</si>
  <si>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</si>
  <si>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</si>
  <si>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</si>
  <si>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</si>
  <si>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</si>
  <si>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</si>
  <si>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</si>
  <si>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</si>
  <si>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</si>
  <si>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</si>
  <si>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</si>
  <si>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</si>
  <si>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</si>
  <si>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</si>
  <si>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</si>
  <si>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</si>
  <si>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</si>
  <si>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</si>
  <si>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</si>
  <si>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</si>
  <si>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</si>
  <si>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</si>
  <si>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</si>
  <si>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</si>
  <si>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</si>
  <si>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</si>
  <si>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</si>
  <si>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</si>
  <si>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</si>
  <si>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</si>
  <si>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</si>
  <si>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</si>
  <si>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</si>
  <si>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</si>
  <si>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</si>
  <si>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</si>
  <si>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</si>
  <si>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</si>
  <si>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</si>
  <si>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</si>
  <si>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</si>
  <si>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</si>
  <si>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</si>
  <si>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</si>
  <si>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</si>
  <si>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</si>
  <si>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</si>
  <si>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</si>
  <si>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</si>
  <si>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</si>
  <si>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</si>
  <si>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</si>
  <si>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</si>
  <si>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</si>
  <si>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</si>
  <si>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</si>
  <si>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</si>
  <si>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</si>
  <si>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</si>
  <si>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</si>
  <si>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</si>
  <si>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</si>
  <si>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</si>
  <si>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</si>
  <si>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</si>
  <si>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</si>
  <si>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</si>
  <si>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</si>
  <si>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</si>
  <si>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</si>
  <si>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</si>
  <si>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</si>
  <si>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</si>
  <si>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</si>
  <si>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</si>
  <si>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</si>
  <si>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</si>
  <si>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</si>
  <si>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</si>
  <si>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</si>
  <si>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</si>
  <si>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</si>
  <si>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</si>
  <si>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</si>
  <si>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</si>
  <si>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</si>
  <si>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</si>
  <si>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</si>
  <si>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</si>
  <si>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</si>
  <si>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</si>
  <si>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</si>
  <si>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</si>
  <si>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</si>
  <si>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</si>
  <si>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</si>
  <si>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</si>
  <si>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</si>
  <si>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</si>
  <si>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</si>
  <si>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</si>
  <si>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</si>
  <si>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</si>
  <si>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</si>
  <si>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</si>
  <si>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</si>
  <si>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</si>
  <si>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</si>
  <si>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</si>
  <si>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</si>
  <si>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</si>
  <si>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</si>
  <si>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</si>
  <si>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</si>
  <si>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</si>
  <si>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</si>
  <si>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</si>
  <si>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</si>
  <si>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</si>
  <si>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</si>
  <si>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</si>
  <si>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</si>
  <si>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</si>
  <si>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</si>
  <si>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</si>
  <si>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</si>
  <si>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</si>
  <si>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</si>
  <si>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</si>
  <si>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</si>
  <si>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</si>
  <si>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</si>
  <si>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</si>
  <si>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</si>
  <si>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</si>
  <si>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</si>
  <si>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</si>
  <si>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</si>
  <si>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</si>
  <si>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</si>
  <si>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</si>
  <si>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</si>
  <si>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</si>
  <si>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</si>
  <si>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</si>
  <si>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</si>
  <si>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</si>
  <si>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</si>
  <si>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</si>
  <si>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</si>
  <si>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</si>
  <si>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</si>
  <si>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</si>
  <si>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</si>
  <si>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</si>
  <si>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</si>
  <si>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</si>
  <si>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</si>
  <si>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</si>
  <si>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</si>
  <si>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</si>
  <si>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</si>
  <si>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</si>
  <si>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</si>
  <si>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</si>
  <si>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</si>
  <si>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</si>
  <si>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</si>
  <si>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</si>
  <si>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</si>
  <si>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</si>
  <si>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</si>
  <si>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</si>
  <si>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</si>
  <si>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</si>
  <si>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</si>
  <si>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</si>
  <si>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</si>
  <si>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</si>
  <si>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</si>
  <si>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</si>
  <si>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</si>
  <si>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</si>
  <si>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</si>
  <si>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</si>
  <si>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</si>
  <si>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</si>
  <si>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</si>
  <si>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</si>
  <si>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</si>
  <si>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</si>
  <si>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</si>
  <si>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</si>
  <si>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</si>
  <si>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</si>
  <si>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</si>
  <si>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</si>
  <si>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</si>
  <si>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</si>
  <si>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</si>
  <si>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</si>
  <si>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</si>
  <si>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</si>
  <si>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</si>
  <si>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</si>
  <si>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</si>
  <si>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</si>
  <si>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</si>
  <si>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</si>
  <si>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</si>
  <si>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</si>
  <si>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</si>
  <si>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</si>
  <si>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</si>
  <si>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</si>
  <si>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</si>
  <si>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</si>
  <si>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</si>
  <si>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</si>
  <si>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</si>
  <si>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</si>
  <si>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</si>
  <si>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</si>
  <si>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</si>
  <si>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</si>
  <si>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</si>
  <si>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</si>
  <si>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</si>
  <si>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</si>
  <si>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</si>
  <si>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</si>
  <si>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</si>
  <si>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</si>
  <si>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</si>
  <si>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</si>
  <si>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</si>
  <si>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</si>
  <si>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</si>
  <si>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</si>
  <si>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</si>
  <si>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</si>
  <si>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</si>
  <si>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</si>
  <si>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</si>
  <si>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</si>
  <si>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</si>
  <si>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</si>
  <si>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</si>
  <si>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</si>
  <si>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</si>
  <si>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</si>
  <si>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</si>
  <si>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</si>
  <si>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</si>
  <si>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</si>
  <si>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</si>
  <si>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</si>
  <si>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</si>
  <si>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</si>
  <si>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</si>
  <si>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</si>
  <si>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</si>
  <si>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</si>
  <si>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</si>
  <si>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</si>
  <si>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</si>
  <si>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</si>
  <si>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</si>
  <si>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</si>
  <si>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</si>
  <si>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</si>
  <si>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</si>
  <si>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</si>
  <si>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</si>
  <si>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</si>
  <si>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</si>
  <si>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</si>
  <si>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</si>
  <si>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</si>
  <si>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</si>
  <si>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</si>
  <si>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</si>
  <si>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</si>
  <si>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</si>
  <si>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</si>
  <si>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Duration Category</t>
  </si>
  <si>
    <t>Purchase Category</t>
  </si>
  <si>
    <t>Grand Total</t>
  </si>
  <si>
    <t>Average of Satisfaction Rating</t>
  </si>
  <si>
    <t>Very short</t>
  </si>
  <si>
    <t>Sunday</t>
  </si>
  <si>
    <t>Monday</t>
  </si>
  <si>
    <t>Tuesday</t>
  </si>
  <si>
    <t>Wednesday</t>
  </si>
  <si>
    <t>Thursday</t>
  </si>
  <si>
    <t>Friday</t>
  </si>
  <si>
    <t>Saturday</t>
  </si>
  <si>
    <t>Duration Bucket2</t>
  </si>
  <si>
    <t>Medium</t>
  </si>
  <si>
    <t>Short</t>
  </si>
  <si>
    <t>Long</t>
  </si>
  <si>
    <t>Total of Purchase Amount(Total Sales)</t>
  </si>
  <si>
    <t>Num of Duration Category</t>
  </si>
  <si>
    <t>Total of Purchase Amount(Total Revenue)</t>
  </si>
  <si>
    <t xml:space="preserve">Num of Call </t>
  </si>
  <si>
    <t>Total of Calls</t>
  </si>
  <si>
    <t>The analysis shows that R03 generated the highest total sales, while R01 achieved the highest customer satisfaction rating. This indicates that strong sales performance does not always guarantee the highest customer satisfaction.
Saturday appears to be the most important day for the business, as it has both the highest revenue and the highest number of calls. This suggests increased customer activity during weekends.
It is recommended to analyze the sales techniques used by R03 and train other representatives accordingly. Additionally, increasing staffing on Saturdays could improve efficiency and customer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</si>
</sst>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5" x14ac:knownFonts="1">
    <font>
      <sz val="11"/>
      <color theme="1"/>
      <name val="Aptos"/>
      <scheme val="minor"/>
    </font>
    <font>
      <sz val="11"/>
      <color theme="1"/>
      <name val="Aptos"/>
      <family val="2"/>
      <scheme val="minor"/>
    </font>
    <font>
      <b/>
      <sz val="11"/>
      <color rgb="FFFFFFFF"/>
      <name val="Aptos"/>
    </font>
    <font>
      <b/>
      <i/>
      <sz val="11"/>
      <color rgb="FFFFFFFF"/>
      <name val="Aptos"/>
    </font>
    <font>
      <sz val="11"/>
      <color rgb="FFFFFFFF"/>
      <name val="Arial"/>
    </font>
    <font>
      <sz val="11"/>
      <color rgb="FFFFFFFF"/>
      <name val="Aptos"/>
    </font>
    <font>
      <b/>
      <sz val="11"/>
      <color theme="1"/>
      <name val="Aptos"/>
    </font>
    <font>
      <sz val="11"/>
      <color theme="1"/>
      <name val="Aptos"/>
    </font>
    <font>
      <i/>
      <sz val="11"/>
      <color theme="1"/>
      <name val="Aptos"/>
    </font>
    <font>
      <sz val="11"/>
      <color theme="1"/>
      <name val="Arial"/>
    </font>
    <font>
      <i/>
      <sz val="11"/>
      <color theme="1"/>
      <name val="Arial"/>
    </font>
    <font>
      <b/>
      <sz val="11"/>
      <color rgb="FFFFFFFF"/>
      <name val="Aptos"/>
      <family val="2"/>
    </font>
    <font>
      <sz val="11"/>
      <color rgb="FFFFFFFF"/>
      <name val="Arial"/>
      <family val="2"/>
    </font>
    <font>
      <sz val="8"/>
      <name val="Aptos"/>
      <scheme val="minor"/>
    </font>
    <font>
      <b/>
      <sz val="18"/>
      <color theme="0"/>
      <name val="Aptos"/>
      <family val="2"/>
      <scheme val="minor"/>
    </font>
  </fonts>
  <fills count="3">
    <fill>
      <patternFill patternType="none"/>
    </fill>
    <fill>
      <patternFill patternType="gray125"/>
    </fill>
    <fill>
      <patternFill patternType="solid">
        <fgColor theme="3"/>
        <bgColor indexed="64"/>
      </patternFill>
    </fill>
  </fills>
  <borders count="18">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right/>
      <top/>
      <bottom style="thin">
        <color indexed="64"/>
      </bottom>
      <diagonal/>
    </border>
  </borders>
  <cellStyleXfs count="1">
    <xf numFmtId="0" fontId="0" fillId="0" borderId="0"/>
  </cellStyleXfs>
  <cellXfs count="48">
    <xf numFmtId="0" fontId="0" fillId="0" borderId="0" xfId="0"/>
    <xf numFmtId="0" fontId="6" fillId="0" borderId="1" xfId="0" applyFont="1" applyBorder="1"/>
    <xf numFmtId="0" fontId="6" fillId="0" borderId="2" xfId="0" applyFont="1" applyBorder="1"/>
    <xf numFmtId="0" fontId="6" fillId="0" borderId="3" xfId="0" applyFont="1" applyBorder="1"/>
    <xf numFmtId="0" fontId="7" fillId="0" borderId="4" xfId="0" applyFont="1" applyBorder="1"/>
    <xf numFmtId="9" fontId="7" fillId="0" borderId="5" xfId="0" applyNumberFormat="1" applyFont="1" applyBorder="1"/>
    <xf numFmtId="0" fontId="7" fillId="0" borderId="5" xfId="0" applyFont="1" applyBorder="1"/>
    <xf numFmtId="0" fontId="7" fillId="0" borderId="6" xfId="0" applyFont="1" applyBorder="1"/>
    <xf numFmtId="0" fontId="7" fillId="0" borderId="7" xfId="0" applyFont="1" applyBorder="1"/>
    <xf numFmtId="9" fontId="7" fillId="0" borderId="8" xfId="0" applyNumberFormat="1" applyFont="1" applyBorder="1"/>
    <xf numFmtId="0" fontId="7" fillId="0" borderId="8" xfId="0" applyFont="1" applyBorder="1"/>
    <xf numFmtId="0" fontId="7" fillId="0" borderId="9" xfId="0" applyFont="1" applyBorder="1"/>
    <xf numFmtId="14" fontId="0" fillId="0" borderId="0" xfId="0" applyNumberFormat="1"/>
    <xf numFmtId="164" fontId="0" fillId="0" borderId="0" xfId="0" applyNumberFormat="1"/>
    <xf numFmtId="2"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vertical="center"/>
    </xf>
    <xf numFmtId="2" fontId="11" fillId="0" borderId="0" xfId="0" applyNumberFormat="1" applyFont="1" applyAlignment="1">
      <alignment horizontal="center" vertical="center"/>
    </xf>
    <xf numFmtId="14" fontId="3" fillId="0" borderId="0" xfId="0" applyNumberFormat="1" applyFont="1" applyAlignment="1">
      <alignment horizontal="center" vertical="center"/>
    </xf>
    <xf numFmtId="164" fontId="11" fillId="0" borderId="0" xfId="0" applyNumberFormat="1" applyFont="1" applyAlignment="1">
      <alignment horizontal="center" vertical="center"/>
    </xf>
    <xf numFmtId="0" fontId="4" fillId="0" borderId="0" xfId="0" applyFont="1" applyAlignment="1">
      <alignment horizontal="center" vertical="center"/>
    </xf>
    <xf numFmtId="0" fontId="12"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vertical="center"/>
    </xf>
    <xf numFmtId="14" fontId="8" fillId="0" borderId="0" xfId="0" applyNumberFormat="1" applyFont="1" applyAlignment="1">
      <alignment horizontal="center" vertical="center"/>
    </xf>
    <xf numFmtId="164" fontId="7" fillId="0" borderId="0" xfId="0" applyNumberFormat="1" applyFont="1" applyAlignment="1">
      <alignment horizontal="center" vertical="center"/>
    </xf>
    <xf numFmtId="0" fontId="9" fillId="0" borderId="0" xfId="0" applyFont="1" applyAlignment="1">
      <alignment horizontal="center" vertical="center"/>
    </xf>
    <xf numFmtId="14" fontId="10" fillId="0" borderId="0" xfId="0" applyNumberFormat="1" applyFont="1" applyAlignment="1">
      <alignment horizontal="center" vertical="center"/>
    </xf>
    <xf numFmtId="0" fontId="0" fillId="0" borderId="10" xfId="0" applyBorder="1"/>
    <xf numFmtId="0" fontId="0" fillId="0" borderId="11" xfId="0" applyBorder="1"/>
    <xf numFmtId="0" fontId="0" fillId="0" borderId="12" xfId="0" pivotButton="1" applyBorder="1"/>
    <xf numFmtId="0" fontId="0" fillId="0" borderId="10" xfId="0" pivotButton="1" applyBorder="1"/>
    <xf numFmtId="0" fontId="0" fillId="0" borderId="12" xfId="0" applyBorder="1"/>
    <xf numFmtId="164" fontId="0" fillId="0" borderId="12" xfId="0" applyNumberFormat="1" applyBorder="1"/>
    <xf numFmtId="164" fontId="0" fillId="0" borderId="13" xfId="0" applyNumberFormat="1" applyBorder="1"/>
    <xf numFmtId="0" fontId="0" fillId="0" borderId="13" xfId="0" applyBorder="1"/>
    <xf numFmtId="0" fontId="0" fillId="0" borderId="14" xfId="0" applyBorder="1"/>
    <xf numFmtId="0" fontId="0" fillId="0" borderId="15" xfId="0" applyBorder="1"/>
    <xf numFmtId="0" fontId="0" fillId="0" borderId="16" xfId="0" applyBorder="1"/>
    <xf numFmtId="164" fontId="0" fillId="0" borderId="16" xfId="0" applyNumberFormat="1" applyBorder="1"/>
    <xf numFmtId="0" fontId="0" fillId="0" borderId="12" xfId="0" applyNumberFormat="1" applyBorder="1"/>
    <xf numFmtId="0" fontId="0" fillId="0" borderId="16" xfId="0" applyNumberFormat="1" applyBorder="1"/>
    <xf numFmtId="0" fontId="0" fillId="0" borderId="13" xfId="0" applyNumberFormat="1" applyBorder="1"/>
    <xf numFmtId="0" fontId="1" fillId="0" borderId="0" xfId="0" applyFont="1"/>
    <xf numFmtId="0" fontId="0" fillId="0" borderId="0" xfId="0" applyBorder="1"/>
    <xf numFmtId="0" fontId="14" fillId="2" borderId="0" xfId="0" applyFont="1" applyFill="1" applyBorder="1" applyAlignment="1">
      <alignment horizontal="center" wrapText="1"/>
    </xf>
    <xf numFmtId="0" fontId="14" fillId="2" borderId="17" xfId="0" applyFont="1" applyFill="1" applyBorder="1" applyAlignment="1">
      <alignment horizontal="center" wrapText="1"/>
    </xf>
  </cellXfs>
  <cellStyles count="1">
    <cellStyle name="Normal" xfId="0" builtinId="0"/>
  </cellStyles>
  <dxfs count="34">
    <dxf>
      <font>
        <b/>
        <color theme="1"/>
      </font>
      <border>
        <bottom style="thin">
          <color theme="4"/>
        </bottom>
        <vertical/>
        <horizontal/>
      </border>
    </dxf>
    <dxf>
      <font>
        <color theme="1"/>
      </font>
      <fill>
        <patternFill>
          <fgColor rgb="FF9E9D78"/>
          <bgColor theme="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fgColor rgb="FF9E9D78"/>
          <bgColor theme="2"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2" tint="-0.24994659260841701"/>
        </patternFill>
      </fill>
      <border>
        <left style="thin">
          <color theme="4"/>
        </left>
        <right style="thin">
          <color theme="4"/>
        </right>
        <top style="thin">
          <color theme="4"/>
        </top>
        <bottom style="thin">
          <color theme="4"/>
        </bottom>
        <vertical/>
        <horizontal/>
      </border>
    </dxf>
    <dxf>
      <font>
        <b/>
        <color theme="1"/>
      </font>
      <fill>
        <patternFill>
          <bgColor theme="2" tint="-0.24994659260841701"/>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fgColor rgb="FF9E9D78"/>
        </patternFill>
      </fill>
    </dxf>
    <dxf>
      <fill>
        <patternFill>
          <fgColor rgb="FF9E9D78"/>
        </patternFill>
      </fill>
    </dxf>
    <dxf>
      <fill>
        <patternFill>
          <bgColor theme="1"/>
        </patternFill>
      </fill>
    </dxf>
    <dxf>
      <fill>
        <patternFill>
          <fgColor theme="3"/>
        </patternFill>
      </fill>
    </dxf>
    <dxf>
      <fill>
        <patternFill>
          <bgColor theme="3" tint="4.9989318521683403E-2"/>
        </patternFill>
      </fill>
    </dxf>
    <dxf>
      <font>
        <b val="0"/>
        <i val="0"/>
        <strike val="0"/>
        <condense val="0"/>
        <extend val="0"/>
        <outline val="0"/>
        <shadow val="0"/>
        <u val="none"/>
        <vertAlign val="baseline"/>
        <sz val="11"/>
        <color theme="1"/>
        <name val="Aptos"/>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scheme val="none"/>
      </font>
      <numFmt numFmtId="164" formatCode="&quot;$&quot;#,##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scheme val="none"/>
      </font>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0"/>
          <bgColor theme="0"/>
        </patternFill>
      </fill>
    </dxf>
    <dxf>
      <fill>
        <patternFill patternType="solid">
          <fgColor rgb="FFDBE0F3"/>
          <bgColor rgb="FFDBE0F3"/>
        </patternFill>
      </fill>
    </dxf>
    <dxf>
      <fill>
        <patternFill patternType="solid">
          <fgColor theme="4"/>
          <bgColor theme="4"/>
        </patternFill>
      </fill>
    </dxf>
  </dxfs>
  <tableStyles count="16">
    <tableStyle name="Data-style" pivot="0" count="3" xr9:uid="{00000000-0011-0000-FFFF-FFFF00000000}">
      <tableStyleElement type="headerRow" dxfId="33"/>
      <tableStyleElement type="firstRowStripe" dxfId="32"/>
      <tableStyleElement type="secondRowStripe" dxfId="31"/>
    </tableStyle>
    <tableStyle name="Slicer Style 1" pivot="0" table="0" count="1" xr9:uid="{C88B7BD6-DB00-4962-A1E3-518F4E4B417E}">
      <tableStyleElement type="headerRow" dxfId="14"/>
    </tableStyle>
    <tableStyle name="Slicer Style 10" pivot="0" table="0" count="1" xr9:uid="{A36D4EDB-54F9-4A82-A2F1-E91E52849223}"/>
    <tableStyle name="Slicer Style 2" pivot="0" table="0" count="1" xr9:uid="{69E67BA5-EC27-41A0-9C1E-1D7D969C6078}"/>
    <tableStyle name="Slicer Style 3" pivot="0" table="0" count="1" xr9:uid="{731902D9-B821-4C17-9FFB-B380F464A0F5}"/>
    <tableStyle name="Slicer Style 4" pivot="0" table="0" count="1" xr9:uid="{63D9E9E9-B145-4A32-B164-87D66BCC7AFE}">
      <tableStyleElement type="wholeTable" dxfId="13"/>
    </tableStyle>
    <tableStyle name="Slicer Style 5" pivot="0" table="0" count="1" xr9:uid="{3143D43C-C501-44AB-8E57-493799C84E75}">
      <tableStyleElement type="wholeTable" dxfId="12"/>
    </tableStyle>
    <tableStyle name="Slicer Style 6" pivot="0" table="0" count="1" xr9:uid="{7214F868-A97A-42B1-ADFF-88326FCE3C0B}"/>
    <tableStyle name="Slicer Style 7" pivot="0" table="0" count="1" xr9:uid="{92E35895-BCBD-4533-82A3-CF67FAE644F7}">
      <tableStyleElement type="wholeTable" dxfId="11"/>
    </tableStyle>
    <tableStyle name="Slicer Style 8" pivot="0" table="0" count="1" xr9:uid="{ED042D95-8D3D-4545-8C20-60EAEFCFA917}">
      <tableStyleElement type="wholeTable" dxfId="10"/>
    </tableStyle>
    <tableStyle name="Slicer Style 9" pivot="0" table="0" count="1" xr9:uid="{AD4AE534-5150-4DD9-B132-02EEE95AA81B}"/>
    <tableStyle name="SlicerStyleDark1 2" pivot="0" table="0" count="10" xr9:uid="{B227484B-7229-48C2-97A5-496ED7B0C7BE}">
      <tableStyleElement type="wholeTable" dxfId="7"/>
      <tableStyleElement type="headerRow" dxfId="6"/>
    </tableStyle>
    <tableStyle name="SlicerStyleDark1 3" pivot="0" table="0" count="10" xr9:uid="{E5072FE4-AFF8-420C-AF9E-4A9EDE49595B}">
      <tableStyleElement type="wholeTable" dxfId="5"/>
      <tableStyleElement type="headerRow" dxfId="4"/>
    </tableStyle>
    <tableStyle name="SlicerStyleDark1 3 2" pivot="0" table="0" count="10" xr9:uid="{E90FEC02-01F9-4202-AFEF-72AFD53ACEE4}">
      <tableStyleElement type="wholeTable" dxfId="3"/>
      <tableStyleElement type="headerRow" dxfId="2"/>
    </tableStyle>
    <tableStyle name="SlicerStyleDark1 3 2 2" pivot="0" table="0" count="10" xr9:uid="{9A6EA80B-396B-4B17-95DE-8D6B5B8302D0}">
      <tableStyleElement type="wholeTable" dxfId="1"/>
      <tableStyleElement type="headerRow" dxfId="0"/>
    </tableStyle>
    <tableStyle name="SlicerStyleLight1 2" pivot="0" table="0" count="10" xr9:uid="{A8B57994-930C-4D7E-B1FD-3FEEAF96211B}">
      <tableStyleElement type="wholeTable" dxfId="9"/>
      <tableStyleElement type="headerRow" dxfId="8"/>
    </tableStyle>
  </tableStyles>
  <colors>
    <mruColors>
      <color rgb="FF9E9D78"/>
      <color rgb="FF000000"/>
      <color rgb="FFD5419D"/>
    </mruColors>
  </colors>
  <extLst>
    <ext xmlns:x14="http://schemas.microsoft.com/office/spreadsheetml/2009/9/main" uri="{46F421CA-312F-682f-3DD2-61675219B42D}">
      <x14:dxfs count="4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3"/>
            </patternFill>
          </fill>
        </dxf>
        <dxf>
          <fill>
            <patternFill>
              <fgColor rgb="FF9E9D78"/>
            </patternFill>
          </fill>
        </dxf>
        <dxf>
          <fill>
            <patternFill>
              <fgColor rgb="FF9E9D78"/>
            </patternFill>
          </fill>
        </dxf>
        <dxf>
          <fill>
            <patternFill>
              <fgColor rgb="FF9E9D78"/>
            </patternFill>
          </fill>
        </dxf>
        <dxf>
          <fill>
            <patternFill>
              <bgColor rgb="FF000000"/>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hoveredUnselectedItemWithNoData" dxfId="40"/>
          </x14:slicerStyleElements>
        </x14:slicerStyle>
        <x14:slicerStyle name="Slicer Style 2">
          <x14:slicerStyleElements>
            <x14:slicerStyleElement type="unselectedItemWithData" dxfId="44"/>
          </x14:slicerStyleElements>
        </x14:slicerStyle>
        <x14:slicerStyle name="Slicer Style 3">
          <x14:slicerStyleElements>
            <x14:slicerStyleElement type="selectedItemWithData" dxfId="43"/>
          </x14:slicerStyleElements>
        </x14:slicerStyle>
        <x14:slicerStyle name="Slicer Style 4"/>
        <x14:slicerStyle name="Slicer Style 5"/>
        <x14:slicerStyle name="Slicer Style 6">
          <x14:slicerStyleElements>
            <x14:slicerStyleElement type="selectedItemWithData" dxfId="42"/>
          </x14:slicerStyleElements>
        </x14:slicerStyle>
        <x14:slicerStyle name="Slicer Style 7"/>
        <x14:slicerStyle name="Slicer Style 8"/>
        <x14:slicerStyle name="Slicer Style 9">
          <x14:slicerStyleElements>
            <x14:slicerStyleElement type="unselectedItemWithData" dxfId="41"/>
          </x14:slicerStyleElements>
        </x14:slicerStyle>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Data_DataSource.xlsx]Q1 - Sales by Representative!SalesByRepresentive</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Total Sales By Representive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 Sales by Representative'!$B$1</c:f>
              <c:strCache>
                <c:ptCount val="1"/>
                <c:pt idx="0">
                  <c:v>Total</c:v>
                </c:pt>
              </c:strCache>
            </c:strRef>
          </c:tx>
          <c:spPr>
            <a:solidFill>
              <a:schemeClr val="accent1"/>
            </a:solidFill>
            <a:ln>
              <a:noFill/>
            </a:ln>
            <a:effectLst/>
          </c:spPr>
          <c:invertIfNegative val="0"/>
          <c:cat>
            <c:strRef>
              <c:f>'Q1 - Sales by Representative'!$A$2:$A$7</c:f>
              <c:strCache>
                <c:ptCount val="5"/>
                <c:pt idx="0">
                  <c:v>R03</c:v>
                </c:pt>
                <c:pt idx="1">
                  <c:v>R02</c:v>
                </c:pt>
                <c:pt idx="2">
                  <c:v>R05</c:v>
                </c:pt>
                <c:pt idx="3">
                  <c:v>R01</c:v>
                </c:pt>
                <c:pt idx="4">
                  <c:v>R04</c:v>
                </c:pt>
              </c:strCache>
            </c:strRef>
          </c:cat>
          <c:val>
            <c:numRef>
              <c:f>'Q1 - Sales by Representative'!$B$2:$B$7</c:f>
              <c:numCache>
                <c:formatCode>"$"#,##0.00</c:formatCode>
                <c:ptCount val="5"/>
                <c:pt idx="0">
                  <c:v>20872</c:v>
                </c:pt>
                <c:pt idx="1">
                  <c:v>20581</c:v>
                </c:pt>
                <c:pt idx="2">
                  <c:v>20104</c:v>
                </c:pt>
                <c:pt idx="3">
                  <c:v>18415</c:v>
                </c:pt>
                <c:pt idx="4">
                  <c:v>16651</c:v>
                </c:pt>
              </c:numCache>
            </c:numRef>
          </c:val>
          <c:extLst>
            <c:ext xmlns:c16="http://schemas.microsoft.com/office/drawing/2014/chart" uri="{C3380CC4-5D6E-409C-BE32-E72D297353CC}">
              <c16:uniqueId val="{00000000-A35B-4B5E-9FBF-E9C198AB80BF}"/>
            </c:ext>
          </c:extLst>
        </c:ser>
        <c:dLbls>
          <c:showLegendKey val="0"/>
          <c:showVal val="0"/>
          <c:showCatName val="0"/>
          <c:showSerName val="0"/>
          <c:showPercent val="0"/>
          <c:showBubbleSize val="0"/>
        </c:dLbls>
        <c:gapWidth val="219"/>
        <c:overlap val="-27"/>
        <c:axId val="384268248"/>
        <c:axId val="384261408"/>
      </c:barChart>
      <c:catAx>
        <c:axId val="38426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61408"/>
        <c:crosses val="autoZero"/>
        <c:auto val="1"/>
        <c:lblAlgn val="ctr"/>
        <c:lblOffset val="100"/>
        <c:noMultiLvlLbl val="0"/>
      </c:catAx>
      <c:valAx>
        <c:axId val="38426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68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Data_DataSource.xlsx]Q2!AverageSatisfactionRating</c:name>
    <c:fmtId val="9"/>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	Average Satisfaction Rating</a:t>
            </a:r>
          </a:p>
        </c:rich>
      </c:tx>
      <c:layout>
        <c:manualLayout>
          <c:xMode val="edge"/>
          <c:yMode val="edge"/>
          <c:x val="7.3124890638670156E-2"/>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'Q2'!$B$1</c:f>
              <c:strCache>
                <c:ptCount val="1"/>
                <c:pt idx="0">
                  <c:v>Total</c:v>
                </c:pt>
              </c:strCache>
            </c:strRef>
          </c:tx>
          <c:spPr>
            <a:solidFill>
              <a:schemeClr val="accent1">
                <a:lumMod val="75000"/>
              </a:schemeClr>
            </a:solidFill>
            <a:ln>
              <a:noFill/>
            </a:ln>
            <a:effectLst/>
          </c:spPr>
          <c:cat>
            <c:strRef>
              <c:f>'Q2'!$A$2:$A$7</c:f>
              <c:strCache>
                <c:ptCount val="5"/>
                <c:pt idx="0">
                  <c:v>R01</c:v>
                </c:pt>
                <c:pt idx="1">
                  <c:v>R04</c:v>
                </c:pt>
                <c:pt idx="2">
                  <c:v>R05</c:v>
                </c:pt>
                <c:pt idx="3">
                  <c:v>R02</c:v>
                </c:pt>
                <c:pt idx="4">
                  <c:v>R03</c:v>
                </c:pt>
              </c:strCache>
            </c:strRef>
          </c:cat>
          <c:val>
            <c:numRef>
              <c:f>'Q2'!$B$2:$B$7</c:f>
              <c:numCache>
                <c:formatCode>General</c:formatCode>
                <c:ptCount val="5"/>
                <c:pt idx="0">
                  <c:v>3.9227513227513247</c:v>
                </c:pt>
                <c:pt idx="1">
                  <c:v>3.8973118279569863</c:v>
                </c:pt>
                <c:pt idx="2">
                  <c:v>3.8824999999999998</c:v>
                </c:pt>
                <c:pt idx="3">
                  <c:v>3.8706422018348627</c:v>
                </c:pt>
                <c:pt idx="4">
                  <c:v>3.8589371980676304</c:v>
                </c:pt>
              </c:numCache>
            </c:numRef>
          </c:val>
          <c:extLst>
            <c:ext xmlns:c16="http://schemas.microsoft.com/office/drawing/2014/chart" uri="{C3380CC4-5D6E-409C-BE32-E72D297353CC}">
              <c16:uniqueId val="{00000000-176F-4BB2-A961-602A37734C48}"/>
            </c:ext>
          </c:extLst>
        </c:ser>
        <c:dLbls>
          <c:showLegendKey val="0"/>
          <c:showVal val="0"/>
          <c:showCatName val="0"/>
          <c:showSerName val="0"/>
          <c:showPercent val="0"/>
          <c:showBubbleSize val="0"/>
        </c:dLbls>
        <c:axId val="397753752"/>
        <c:axId val="397756272"/>
      </c:areaChart>
      <c:catAx>
        <c:axId val="397753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sx="51000" sy="5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756272"/>
        <c:crosses val="autoZero"/>
        <c:auto val="1"/>
        <c:lblAlgn val="ctr"/>
        <c:lblOffset val="100"/>
        <c:noMultiLvlLbl val="0"/>
      </c:catAx>
      <c:valAx>
        <c:axId val="39775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5400000" sx="69000" sy="69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753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Data_DataSource.xlsx]Q3!CategoryDuration</c:name>
    <c:fmtId val="4"/>
  </c:pivotSource>
  <c:chart>
    <c:title>
      <c:tx>
        <c:rich>
          <a:bodyPr rot="0" spcFirstLastPara="1" vertOverflow="ellipsis" vert="horz" wrap="square" anchor="ctr" anchorCtr="1"/>
          <a:lstStyle/>
          <a:p>
            <a:pPr>
              <a:defRPr lang="en-US" sz="1400" b="0" i="0" u="none" strike="noStrike" kern="1200" spc="0" baseline="0">
                <a:solidFill>
                  <a:schemeClr val="tx2">
                    <a:lumMod val="85000"/>
                    <a:lumOff val="15000"/>
                  </a:schemeClr>
                </a:solidFill>
                <a:latin typeface="+mn-lt"/>
                <a:ea typeface="+mn-ea"/>
                <a:cs typeface="+mn-cs"/>
              </a:defRPr>
            </a:pPr>
            <a:r>
              <a:rPr lang="en-US" sz="1400" b="1" i="0" u="none" strike="noStrike" kern="1200" baseline="0">
                <a:solidFill>
                  <a:schemeClr val="tx2">
                    <a:lumMod val="85000"/>
                    <a:lumOff val="15000"/>
                  </a:schemeClr>
                </a:solidFill>
                <a:latin typeface="+mn-lt"/>
                <a:ea typeface="+mn-ea"/>
                <a:cs typeface="+mn-cs"/>
              </a:rPr>
              <a:t>Duration category</a:t>
            </a:r>
          </a:p>
        </c:rich>
      </c:tx>
      <c:layout>
        <c:manualLayout>
          <c:xMode val="edge"/>
          <c:yMode val="edge"/>
          <c:x val="0.3210277777777778"/>
          <c:y val="3.240740740740740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2">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85000"/>
              <a:lumOff val="15000"/>
            </a:schemeClr>
          </a:solidFill>
          <a:ln w="19050">
            <a:solidFill>
              <a:schemeClr val="lt1"/>
            </a:solidFill>
          </a:ln>
          <a:effectLst/>
        </c:spPr>
      </c:pivotFmt>
      <c:pivotFmt>
        <c:idx val="2"/>
        <c:spPr>
          <a:solidFill>
            <a:schemeClr val="tx2">
              <a:lumMod val="65000"/>
              <a:lumOff val="35000"/>
            </a:schemeClr>
          </a:solidFill>
          <a:ln w="19050">
            <a:solidFill>
              <a:schemeClr val="lt1"/>
            </a:solidFill>
          </a:ln>
          <a:effectLst/>
        </c:spPr>
      </c:pivotFmt>
      <c:pivotFmt>
        <c:idx val="3"/>
        <c:spPr>
          <a:solidFill>
            <a:schemeClr val="bg2">
              <a:lumMod val="65000"/>
            </a:schemeClr>
          </a:solidFill>
          <a:ln w="19050">
            <a:solidFill>
              <a:schemeClr val="lt1"/>
            </a:solidFill>
          </a:ln>
          <a:effectLst/>
        </c:spPr>
      </c:pivotFmt>
      <c:pivotFmt>
        <c:idx val="4"/>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85000"/>
              <a:lumOff val="15000"/>
            </a:schemeClr>
          </a:solidFill>
          <a:ln w="19050">
            <a:solidFill>
              <a:schemeClr val="lt1"/>
            </a:solidFill>
          </a:ln>
          <a:effectLst/>
        </c:spPr>
      </c:pivotFmt>
      <c:pivotFmt>
        <c:idx val="7"/>
        <c:spPr>
          <a:solidFill>
            <a:schemeClr val="tx2">
              <a:lumMod val="65000"/>
              <a:lumOff val="35000"/>
            </a:schemeClr>
          </a:solidFill>
          <a:ln w="19050">
            <a:solidFill>
              <a:schemeClr val="lt1"/>
            </a:solidFill>
          </a:ln>
          <a:effectLst/>
        </c:spPr>
      </c:pivotFmt>
      <c:pivotFmt>
        <c:idx val="8"/>
        <c:spPr>
          <a:solidFill>
            <a:schemeClr val="bg2">
              <a:lumMod val="65000"/>
            </a:schemeClr>
          </a:solidFill>
          <a:ln w="19050">
            <a:solidFill>
              <a:schemeClr val="lt1"/>
            </a:solidFill>
          </a:ln>
          <a:effectLst/>
        </c:spPr>
      </c:pivotFmt>
      <c:pivotFmt>
        <c:idx val="9"/>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pivotFmt>
      <c:pivotFmt>
        <c:idx val="12"/>
        <c:spPr>
          <a:solidFill>
            <a:schemeClr val="tx2">
              <a:lumMod val="65000"/>
              <a:lumOff val="35000"/>
            </a:schemeClr>
          </a:solidFill>
          <a:ln w="19050">
            <a:solidFill>
              <a:schemeClr val="lt1"/>
            </a:solidFill>
          </a:ln>
          <a:effectLst/>
        </c:spPr>
      </c:pivotFmt>
      <c:pivotFmt>
        <c:idx val="13"/>
        <c:spPr>
          <a:solidFill>
            <a:schemeClr val="bg2">
              <a:lumMod val="65000"/>
            </a:schemeClr>
          </a:solidFill>
          <a:ln w="19050">
            <a:solidFill>
              <a:schemeClr val="lt1"/>
            </a:solidFill>
          </a:ln>
          <a:effectLst/>
        </c:spPr>
      </c:pivotFmt>
      <c:pivotFmt>
        <c:idx val="14"/>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s>
    <c:plotArea>
      <c:layout/>
      <c:doughnutChart>
        <c:varyColors val="1"/>
        <c:ser>
          <c:idx val="0"/>
          <c:order val="0"/>
          <c:tx>
            <c:strRef>
              <c:f>'Q3'!$B$3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A4FC-4364-891B-E22EC3F4D6EE}"/>
              </c:ext>
            </c:extLst>
          </c:dPt>
          <c:dPt>
            <c:idx val="1"/>
            <c:bubble3D val="0"/>
            <c:spPr>
              <a:solidFill>
                <a:schemeClr val="tx2">
                  <a:lumMod val="65000"/>
                  <a:lumOff val="35000"/>
                </a:schemeClr>
              </a:solidFill>
              <a:ln w="19050">
                <a:solidFill>
                  <a:schemeClr val="lt1"/>
                </a:solidFill>
              </a:ln>
              <a:effectLst/>
            </c:spPr>
            <c:extLst>
              <c:ext xmlns:c16="http://schemas.microsoft.com/office/drawing/2014/chart" uri="{C3380CC4-5D6E-409C-BE32-E72D297353CC}">
                <c16:uniqueId val="{00000003-A4FC-4364-891B-E22EC3F4D6EE}"/>
              </c:ext>
            </c:extLst>
          </c:dPt>
          <c:dPt>
            <c:idx val="2"/>
            <c:bubble3D val="0"/>
            <c:spPr>
              <a:solidFill>
                <a:schemeClr val="bg2">
                  <a:lumMod val="65000"/>
                </a:schemeClr>
              </a:solidFill>
              <a:ln w="19050">
                <a:solidFill>
                  <a:schemeClr val="lt1"/>
                </a:solidFill>
              </a:ln>
              <a:effectLst/>
            </c:spPr>
            <c:extLst>
              <c:ext xmlns:c16="http://schemas.microsoft.com/office/drawing/2014/chart" uri="{C3380CC4-5D6E-409C-BE32-E72D297353CC}">
                <c16:uniqueId val="{00000005-A4FC-4364-891B-E22EC3F4D6EE}"/>
              </c:ext>
            </c:extLst>
          </c:dPt>
          <c:dPt>
            <c:idx val="3"/>
            <c:bubble3D val="0"/>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extLst>
              <c:ext xmlns:c16="http://schemas.microsoft.com/office/drawing/2014/chart" uri="{C3380CC4-5D6E-409C-BE32-E72D297353CC}">
                <c16:uniqueId val="{00000007-A4FC-4364-891B-E22EC3F4D6EE}"/>
              </c:ext>
            </c:extLst>
          </c:dPt>
          <c:cat>
            <c:strRef>
              <c:f>'Q3'!$A$4:$A$8</c:f>
              <c:strCache>
                <c:ptCount val="4"/>
                <c:pt idx="0">
                  <c:v>Long</c:v>
                </c:pt>
                <c:pt idx="1">
                  <c:v>Medium</c:v>
                </c:pt>
                <c:pt idx="2">
                  <c:v>Short</c:v>
                </c:pt>
                <c:pt idx="3">
                  <c:v>Very short</c:v>
                </c:pt>
              </c:strCache>
            </c:strRef>
          </c:cat>
          <c:val>
            <c:numRef>
              <c:f>'Q3'!$B$4:$B$8</c:f>
              <c:numCache>
                <c:formatCode>General</c:formatCode>
                <c:ptCount val="4"/>
                <c:pt idx="0">
                  <c:v>761</c:v>
                </c:pt>
                <c:pt idx="1">
                  <c:v>179</c:v>
                </c:pt>
                <c:pt idx="2">
                  <c:v>44</c:v>
                </c:pt>
                <c:pt idx="3">
                  <c:v>16</c:v>
                </c:pt>
              </c:numCache>
            </c:numRef>
          </c:val>
          <c:extLst>
            <c:ext xmlns:c16="http://schemas.microsoft.com/office/drawing/2014/chart" uri="{C3380CC4-5D6E-409C-BE32-E72D297353CC}">
              <c16:uniqueId val="{00000008-A4FC-4364-891B-E22EC3F4D6EE}"/>
            </c:ext>
          </c:extLst>
        </c:ser>
        <c:dLbls>
          <c:showLegendKey val="0"/>
          <c:showVal val="0"/>
          <c:showCatName val="0"/>
          <c:showSerName val="0"/>
          <c:showPercent val="0"/>
          <c:showBubbleSize val="0"/>
          <c:showLeaderLines val="1"/>
        </c:dLbls>
        <c:firstSliceAng val="79"/>
        <c:holeSize val="50"/>
      </c:doughnutChart>
      <c:spPr>
        <a:noFill/>
        <a:ln>
          <a:noFill/>
        </a:ln>
        <a:effectLst/>
      </c:spPr>
    </c:plotArea>
    <c:legend>
      <c:legendPos val="b"/>
      <c:legendEntry>
        <c:idx val="0"/>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tx2">
                    <a:lumMod val="85000"/>
                    <a:lumOff val="15000"/>
                  </a:schemeClr>
                </a:solidFill>
                <a:latin typeface="+mn-lt"/>
                <a:ea typeface="+mn-ea"/>
                <a:cs typeface="+mn-cs"/>
              </a:defRPr>
            </a:pPr>
            <a:endParaRPr lang="en-US"/>
          </a:p>
        </c:txPr>
      </c:legendEntry>
      <c:layout>
        <c:manualLayout>
          <c:xMode val="edge"/>
          <c:yMode val="edge"/>
          <c:x val="0.11085870516185478"/>
          <c:y val="0.8616892680081657"/>
          <c:w val="0.78106036745406826"/>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Data_DataSource.xlsx]Q4!RevenueByDay</c:name>
    <c:fmtId val="6"/>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Revenue By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c:f>
              <c:strCache>
                <c:ptCount val="1"/>
                <c:pt idx="0">
                  <c:v>Total</c:v>
                </c:pt>
              </c:strCache>
            </c:strRef>
          </c:tx>
          <c:spPr>
            <a:solidFill>
              <a:srgbClr val="0070C0"/>
            </a:solidFill>
            <a:ln>
              <a:noFill/>
            </a:ln>
            <a:effectLst/>
          </c:spPr>
          <c:invertIfNegative val="0"/>
          <c:cat>
            <c:strRef>
              <c:f>'Q4'!$A$4:$A$11</c:f>
              <c:strCache>
                <c:ptCount val="7"/>
                <c:pt idx="0">
                  <c:v>Saturday</c:v>
                </c:pt>
                <c:pt idx="1">
                  <c:v>Wednesday</c:v>
                </c:pt>
                <c:pt idx="2">
                  <c:v>Sunday</c:v>
                </c:pt>
                <c:pt idx="3">
                  <c:v>Tuesday</c:v>
                </c:pt>
                <c:pt idx="4">
                  <c:v>Friday</c:v>
                </c:pt>
                <c:pt idx="5">
                  <c:v>Monday</c:v>
                </c:pt>
                <c:pt idx="6">
                  <c:v>Thursday</c:v>
                </c:pt>
              </c:strCache>
            </c:strRef>
          </c:cat>
          <c:val>
            <c:numRef>
              <c:f>'Q4'!$B$4:$B$11</c:f>
              <c:numCache>
                <c:formatCode>"$"#,##0.00</c:formatCode>
                <c:ptCount val="7"/>
                <c:pt idx="0">
                  <c:v>16007</c:v>
                </c:pt>
                <c:pt idx="1">
                  <c:v>15702</c:v>
                </c:pt>
                <c:pt idx="2">
                  <c:v>13476</c:v>
                </c:pt>
                <c:pt idx="3">
                  <c:v>13143</c:v>
                </c:pt>
                <c:pt idx="4">
                  <c:v>13120</c:v>
                </c:pt>
                <c:pt idx="5">
                  <c:v>13054</c:v>
                </c:pt>
                <c:pt idx="6">
                  <c:v>12121</c:v>
                </c:pt>
              </c:numCache>
            </c:numRef>
          </c:val>
          <c:extLst>
            <c:ext xmlns:c16="http://schemas.microsoft.com/office/drawing/2014/chart" uri="{C3380CC4-5D6E-409C-BE32-E72D297353CC}">
              <c16:uniqueId val="{00000000-D876-4353-A844-F420DBFED8A8}"/>
            </c:ext>
          </c:extLst>
        </c:ser>
        <c:dLbls>
          <c:showLegendKey val="0"/>
          <c:showVal val="0"/>
          <c:showCatName val="0"/>
          <c:showSerName val="0"/>
          <c:showPercent val="0"/>
          <c:showBubbleSize val="0"/>
        </c:dLbls>
        <c:gapWidth val="150"/>
        <c:axId val="648332216"/>
        <c:axId val="648340856"/>
      </c:barChart>
      <c:catAx>
        <c:axId val="648332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40856"/>
        <c:crosses val="autoZero"/>
        <c:auto val="1"/>
        <c:lblAlgn val="ctr"/>
        <c:lblOffset val="100"/>
        <c:noMultiLvlLbl val="0"/>
      </c:catAx>
      <c:valAx>
        <c:axId val="648340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22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Data_DataSource.xlsx]Q5!CallsBy Representive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Num</a:t>
            </a:r>
            <a:r>
              <a:rPr lang="en-US" b="1" baseline="0">
                <a:solidFill>
                  <a:schemeClr val="accent1">
                    <a:lumMod val="75000"/>
                  </a:schemeClr>
                </a:solidFill>
              </a:rPr>
              <a:t> Of Calles</a:t>
            </a:r>
            <a:endParaRPr lang="en-US" b="1">
              <a:solidFill>
                <a:schemeClr val="accent1">
                  <a:lumMod val="75000"/>
                </a:schemeClr>
              </a:solidFill>
            </a:endParaRPr>
          </a:p>
        </c:rich>
      </c:tx>
      <c:layout>
        <c:manualLayout>
          <c:xMode val="edge"/>
          <c:yMode val="edge"/>
          <c:x val="0.3744304461942257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'Q5'!$B$1</c:f>
              <c:strCache>
                <c:ptCount val="1"/>
                <c:pt idx="0">
                  <c:v>Total</c:v>
                </c:pt>
              </c:strCache>
            </c:strRef>
          </c:tx>
          <c:spPr>
            <a:solidFill>
              <a:schemeClr val="tx2">
                <a:lumMod val="75000"/>
                <a:lumOff val="25000"/>
              </a:schemeClr>
            </a:solidFill>
            <a:ln>
              <a:noFill/>
            </a:ln>
            <a:effectLst/>
          </c:spPr>
          <c:invertIfNegative val="0"/>
          <c:cat>
            <c:strRef>
              <c:f>'Q5'!$A$2:$A$7</c:f>
              <c:strCache>
                <c:ptCount val="5"/>
                <c:pt idx="0">
                  <c:v>R02</c:v>
                </c:pt>
                <c:pt idx="1">
                  <c:v>R03</c:v>
                </c:pt>
                <c:pt idx="2">
                  <c:v>R05</c:v>
                </c:pt>
                <c:pt idx="3">
                  <c:v>R01</c:v>
                </c:pt>
                <c:pt idx="4">
                  <c:v>R04</c:v>
                </c:pt>
              </c:strCache>
            </c:strRef>
          </c:cat>
          <c:val>
            <c:numRef>
              <c:f>'Q5'!$B$2:$B$7</c:f>
              <c:numCache>
                <c:formatCode>General</c:formatCode>
                <c:ptCount val="5"/>
                <c:pt idx="0">
                  <c:v>218</c:v>
                </c:pt>
                <c:pt idx="1">
                  <c:v>207</c:v>
                </c:pt>
                <c:pt idx="2">
                  <c:v>200</c:v>
                </c:pt>
                <c:pt idx="3">
                  <c:v>189</c:v>
                </c:pt>
                <c:pt idx="4">
                  <c:v>186</c:v>
                </c:pt>
              </c:numCache>
            </c:numRef>
          </c:val>
          <c:extLst>
            <c:ext xmlns:c16="http://schemas.microsoft.com/office/drawing/2014/chart" uri="{C3380CC4-5D6E-409C-BE32-E72D297353CC}">
              <c16:uniqueId val="{00000000-C898-40E1-B218-8A36BFA8A844}"/>
            </c:ext>
          </c:extLst>
        </c:ser>
        <c:dLbls>
          <c:showLegendKey val="0"/>
          <c:showVal val="0"/>
          <c:showCatName val="0"/>
          <c:showSerName val="0"/>
          <c:showPercent val="0"/>
          <c:showBubbleSize val="0"/>
        </c:dLbls>
        <c:gapWidth val="182"/>
        <c:axId val="648339776"/>
        <c:axId val="648336176"/>
      </c:barChart>
      <c:catAx>
        <c:axId val="64833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6176"/>
        <c:crosses val="autoZero"/>
        <c:auto val="1"/>
        <c:lblAlgn val="ctr"/>
        <c:lblOffset val="100"/>
        <c:noMultiLvlLbl val="0"/>
      </c:catAx>
      <c:valAx>
        <c:axId val="64833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Data_DataSource.xlsx]Q6!CallsByDay</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Calls By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'Q6'!$B$1</c:f>
              <c:strCache>
                <c:ptCount val="1"/>
                <c:pt idx="0">
                  <c:v>Total</c:v>
                </c:pt>
              </c:strCache>
            </c:strRef>
          </c:tx>
          <c:spPr>
            <a:solidFill>
              <a:schemeClr val="tx2">
                <a:lumMod val="90000"/>
                <a:lumOff val="10000"/>
              </a:schemeClr>
            </a:solidFill>
            <a:ln>
              <a:noFill/>
            </a:ln>
            <a:effectLst/>
          </c:spPr>
          <c:invertIfNegative val="0"/>
          <c:cat>
            <c:strRef>
              <c:f>'Q6'!$A$2:$A$9</c:f>
              <c:strCache>
                <c:ptCount val="7"/>
                <c:pt idx="0">
                  <c:v>Saturday</c:v>
                </c:pt>
                <c:pt idx="1">
                  <c:v>Wednesday</c:v>
                </c:pt>
                <c:pt idx="2">
                  <c:v>Sunday</c:v>
                </c:pt>
                <c:pt idx="3">
                  <c:v>Friday</c:v>
                </c:pt>
                <c:pt idx="4">
                  <c:v>Tuesday</c:v>
                </c:pt>
                <c:pt idx="5">
                  <c:v>Monday</c:v>
                </c:pt>
                <c:pt idx="6">
                  <c:v>Thursday</c:v>
                </c:pt>
              </c:strCache>
            </c:strRef>
          </c:cat>
          <c:val>
            <c:numRef>
              <c:f>'Q6'!$B$2:$B$9</c:f>
              <c:numCache>
                <c:formatCode>General</c:formatCode>
                <c:ptCount val="7"/>
                <c:pt idx="0">
                  <c:v>161</c:v>
                </c:pt>
                <c:pt idx="1">
                  <c:v>153</c:v>
                </c:pt>
                <c:pt idx="2">
                  <c:v>146</c:v>
                </c:pt>
                <c:pt idx="3">
                  <c:v>141</c:v>
                </c:pt>
                <c:pt idx="4">
                  <c:v>138</c:v>
                </c:pt>
                <c:pt idx="5">
                  <c:v>133</c:v>
                </c:pt>
                <c:pt idx="6">
                  <c:v>128</c:v>
                </c:pt>
              </c:numCache>
            </c:numRef>
          </c:val>
          <c:extLst>
            <c:ext xmlns:c16="http://schemas.microsoft.com/office/drawing/2014/chart" uri="{C3380CC4-5D6E-409C-BE32-E72D297353CC}">
              <c16:uniqueId val="{00000000-C8C5-4A99-8DC0-980D0AB73C24}"/>
            </c:ext>
          </c:extLst>
        </c:ser>
        <c:dLbls>
          <c:showLegendKey val="0"/>
          <c:showVal val="0"/>
          <c:showCatName val="0"/>
          <c:showSerName val="0"/>
          <c:showPercent val="0"/>
          <c:showBubbleSize val="0"/>
        </c:dLbls>
        <c:gapWidth val="219"/>
        <c:overlap val="-27"/>
        <c:axId val="384759944"/>
        <c:axId val="384757424"/>
      </c:barChart>
      <c:catAx>
        <c:axId val="38475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7424"/>
        <c:crosses val="autoZero"/>
        <c:auto val="1"/>
        <c:lblAlgn val="ctr"/>
        <c:lblOffset val="100"/>
        <c:noMultiLvlLbl val="0"/>
      </c:catAx>
      <c:valAx>
        <c:axId val="38475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9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Data_DataSource.xlsx]Q1 - Sales by Representative!SalesByRepresentive</c:name>
    <c:fmtId val="8"/>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Total Sales By Representive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 Sales by Representative'!$B$1</c:f>
              <c:strCache>
                <c:ptCount val="1"/>
                <c:pt idx="0">
                  <c:v>Total</c:v>
                </c:pt>
              </c:strCache>
            </c:strRef>
          </c:tx>
          <c:spPr>
            <a:solidFill>
              <a:schemeClr val="accent1"/>
            </a:solidFill>
            <a:ln>
              <a:noFill/>
            </a:ln>
            <a:effectLst/>
          </c:spPr>
          <c:invertIfNegative val="0"/>
          <c:cat>
            <c:strRef>
              <c:f>'Q1 - Sales by Representative'!$A$2:$A$7</c:f>
              <c:strCache>
                <c:ptCount val="5"/>
                <c:pt idx="0">
                  <c:v>R03</c:v>
                </c:pt>
                <c:pt idx="1">
                  <c:v>R02</c:v>
                </c:pt>
                <c:pt idx="2">
                  <c:v>R05</c:v>
                </c:pt>
                <c:pt idx="3">
                  <c:v>R01</c:v>
                </c:pt>
                <c:pt idx="4">
                  <c:v>R04</c:v>
                </c:pt>
              </c:strCache>
            </c:strRef>
          </c:cat>
          <c:val>
            <c:numRef>
              <c:f>'Q1 - Sales by Representative'!$B$2:$B$7</c:f>
              <c:numCache>
                <c:formatCode>"$"#,##0.00</c:formatCode>
                <c:ptCount val="5"/>
                <c:pt idx="0">
                  <c:v>20872</c:v>
                </c:pt>
                <c:pt idx="1">
                  <c:v>20581</c:v>
                </c:pt>
                <c:pt idx="2">
                  <c:v>20104</c:v>
                </c:pt>
                <c:pt idx="3">
                  <c:v>18415</c:v>
                </c:pt>
                <c:pt idx="4">
                  <c:v>16651</c:v>
                </c:pt>
              </c:numCache>
            </c:numRef>
          </c:val>
          <c:extLst>
            <c:ext xmlns:c16="http://schemas.microsoft.com/office/drawing/2014/chart" uri="{C3380CC4-5D6E-409C-BE32-E72D297353CC}">
              <c16:uniqueId val="{00000000-390F-4984-8346-5BD16D9D8C18}"/>
            </c:ext>
          </c:extLst>
        </c:ser>
        <c:dLbls>
          <c:showLegendKey val="0"/>
          <c:showVal val="0"/>
          <c:showCatName val="0"/>
          <c:showSerName val="0"/>
          <c:showPercent val="0"/>
          <c:showBubbleSize val="0"/>
        </c:dLbls>
        <c:gapWidth val="219"/>
        <c:overlap val="-27"/>
        <c:axId val="384268248"/>
        <c:axId val="384261408"/>
      </c:barChart>
      <c:catAx>
        <c:axId val="38426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61408"/>
        <c:crosses val="autoZero"/>
        <c:auto val="1"/>
        <c:lblAlgn val="ctr"/>
        <c:lblOffset val="100"/>
        <c:noMultiLvlLbl val="0"/>
      </c:catAx>
      <c:valAx>
        <c:axId val="38426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268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Data_DataSource.xlsx]Q2!AverageSatisfactionRating</c:name>
    <c:fmtId val="11"/>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	Average Satisfaction Rating</a:t>
            </a:r>
          </a:p>
        </c:rich>
      </c:tx>
      <c:layout>
        <c:manualLayout>
          <c:xMode val="edge"/>
          <c:yMode val="edge"/>
          <c:x val="7.3124890638670156E-2"/>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'Q2'!$B$1</c:f>
              <c:strCache>
                <c:ptCount val="1"/>
                <c:pt idx="0">
                  <c:v>Total</c:v>
                </c:pt>
              </c:strCache>
            </c:strRef>
          </c:tx>
          <c:spPr>
            <a:solidFill>
              <a:schemeClr val="accent1">
                <a:lumMod val="75000"/>
              </a:schemeClr>
            </a:solidFill>
            <a:ln>
              <a:noFill/>
            </a:ln>
            <a:effectLst/>
          </c:spPr>
          <c:cat>
            <c:strRef>
              <c:f>'Q2'!$A$2:$A$7</c:f>
              <c:strCache>
                <c:ptCount val="5"/>
                <c:pt idx="0">
                  <c:v>R01</c:v>
                </c:pt>
                <c:pt idx="1">
                  <c:v>R04</c:v>
                </c:pt>
                <c:pt idx="2">
                  <c:v>R05</c:v>
                </c:pt>
                <c:pt idx="3">
                  <c:v>R02</c:v>
                </c:pt>
                <c:pt idx="4">
                  <c:v>R03</c:v>
                </c:pt>
              </c:strCache>
            </c:strRef>
          </c:cat>
          <c:val>
            <c:numRef>
              <c:f>'Q2'!$B$2:$B$7</c:f>
              <c:numCache>
                <c:formatCode>General</c:formatCode>
                <c:ptCount val="5"/>
                <c:pt idx="0">
                  <c:v>3.9227513227513247</c:v>
                </c:pt>
                <c:pt idx="1">
                  <c:v>3.8973118279569863</c:v>
                </c:pt>
                <c:pt idx="2">
                  <c:v>3.8824999999999998</c:v>
                </c:pt>
                <c:pt idx="3">
                  <c:v>3.8706422018348627</c:v>
                </c:pt>
                <c:pt idx="4">
                  <c:v>3.8589371980676304</c:v>
                </c:pt>
              </c:numCache>
            </c:numRef>
          </c:val>
          <c:extLst>
            <c:ext xmlns:c16="http://schemas.microsoft.com/office/drawing/2014/chart" uri="{C3380CC4-5D6E-409C-BE32-E72D297353CC}">
              <c16:uniqueId val="{00000000-07AF-408F-8CF3-0D37CE1655CB}"/>
            </c:ext>
          </c:extLst>
        </c:ser>
        <c:dLbls>
          <c:showLegendKey val="0"/>
          <c:showVal val="0"/>
          <c:showCatName val="0"/>
          <c:showSerName val="0"/>
          <c:showPercent val="0"/>
          <c:showBubbleSize val="0"/>
        </c:dLbls>
        <c:axId val="397753752"/>
        <c:axId val="397756272"/>
      </c:areaChart>
      <c:catAx>
        <c:axId val="397753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sx="51000" sy="5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756272"/>
        <c:crosses val="autoZero"/>
        <c:auto val="1"/>
        <c:lblAlgn val="ctr"/>
        <c:lblOffset val="100"/>
        <c:noMultiLvlLbl val="0"/>
      </c:catAx>
      <c:valAx>
        <c:axId val="39775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5400000" sx="69000" sy="69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753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Data_DataSource.xlsx]Q3!CategoryDuration</c:name>
    <c:fmtId val="6"/>
  </c:pivotSource>
  <c:chart>
    <c:title>
      <c:tx>
        <c:rich>
          <a:bodyPr rot="0" spcFirstLastPara="1" vertOverflow="ellipsis" vert="horz" wrap="square" anchor="ctr" anchorCtr="1"/>
          <a:lstStyle/>
          <a:p>
            <a:pPr>
              <a:defRPr lang="en-US" sz="1400" b="0" i="0" u="none" strike="noStrike" kern="1200" spc="0" baseline="0">
                <a:solidFill>
                  <a:schemeClr val="tx2">
                    <a:lumMod val="85000"/>
                    <a:lumOff val="15000"/>
                  </a:schemeClr>
                </a:solidFill>
                <a:latin typeface="+mn-lt"/>
                <a:ea typeface="+mn-ea"/>
                <a:cs typeface="+mn-cs"/>
              </a:defRPr>
            </a:pPr>
            <a:r>
              <a:rPr lang="en-US" sz="1400" b="1" i="0" u="none" strike="noStrike" kern="1200" baseline="0">
                <a:solidFill>
                  <a:schemeClr val="tx2">
                    <a:lumMod val="85000"/>
                    <a:lumOff val="15000"/>
                  </a:schemeClr>
                </a:solidFill>
                <a:latin typeface="+mn-lt"/>
                <a:ea typeface="+mn-ea"/>
                <a:cs typeface="+mn-cs"/>
              </a:rPr>
              <a:t>Duration category</a:t>
            </a:r>
          </a:p>
        </c:rich>
      </c:tx>
      <c:layout>
        <c:manualLayout>
          <c:xMode val="edge"/>
          <c:yMode val="edge"/>
          <c:x val="0.3210277777777778"/>
          <c:y val="3.240740740740740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2">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85000"/>
              <a:lumOff val="15000"/>
            </a:schemeClr>
          </a:solidFill>
          <a:ln w="19050">
            <a:solidFill>
              <a:schemeClr val="lt1"/>
            </a:solidFill>
          </a:ln>
          <a:effectLst/>
        </c:spPr>
      </c:pivotFmt>
      <c:pivotFmt>
        <c:idx val="2"/>
        <c:spPr>
          <a:solidFill>
            <a:schemeClr val="tx2">
              <a:lumMod val="65000"/>
              <a:lumOff val="35000"/>
            </a:schemeClr>
          </a:solidFill>
          <a:ln w="19050">
            <a:solidFill>
              <a:schemeClr val="lt1"/>
            </a:solidFill>
          </a:ln>
          <a:effectLst/>
        </c:spPr>
      </c:pivotFmt>
      <c:pivotFmt>
        <c:idx val="3"/>
        <c:spPr>
          <a:solidFill>
            <a:schemeClr val="bg2">
              <a:lumMod val="65000"/>
            </a:schemeClr>
          </a:solidFill>
          <a:ln w="19050">
            <a:solidFill>
              <a:schemeClr val="lt1"/>
            </a:solidFill>
          </a:ln>
          <a:effectLst/>
        </c:spPr>
      </c:pivotFmt>
      <c:pivotFmt>
        <c:idx val="4"/>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85000"/>
              <a:lumOff val="15000"/>
            </a:schemeClr>
          </a:solidFill>
          <a:ln w="19050">
            <a:solidFill>
              <a:schemeClr val="lt1"/>
            </a:solidFill>
          </a:ln>
          <a:effectLst/>
        </c:spPr>
      </c:pivotFmt>
      <c:pivotFmt>
        <c:idx val="7"/>
        <c:spPr>
          <a:solidFill>
            <a:schemeClr val="tx2">
              <a:lumMod val="65000"/>
              <a:lumOff val="35000"/>
            </a:schemeClr>
          </a:solidFill>
          <a:ln w="19050">
            <a:solidFill>
              <a:schemeClr val="lt1"/>
            </a:solidFill>
          </a:ln>
          <a:effectLst/>
        </c:spPr>
      </c:pivotFmt>
      <c:pivotFmt>
        <c:idx val="8"/>
        <c:spPr>
          <a:solidFill>
            <a:schemeClr val="bg2">
              <a:lumMod val="65000"/>
            </a:schemeClr>
          </a:solidFill>
          <a:ln w="19050">
            <a:solidFill>
              <a:schemeClr val="lt1"/>
            </a:solidFill>
          </a:ln>
          <a:effectLst/>
        </c:spPr>
      </c:pivotFmt>
      <c:pivotFmt>
        <c:idx val="9"/>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pivotFmt>
      <c:pivotFmt>
        <c:idx val="12"/>
        <c:spPr>
          <a:solidFill>
            <a:schemeClr val="tx2">
              <a:lumMod val="65000"/>
              <a:lumOff val="35000"/>
            </a:schemeClr>
          </a:solidFill>
          <a:ln w="19050">
            <a:solidFill>
              <a:schemeClr val="lt1"/>
            </a:solidFill>
          </a:ln>
          <a:effectLst/>
        </c:spPr>
      </c:pivotFmt>
      <c:pivotFmt>
        <c:idx val="13"/>
        <c:spPr>
          <a:solidFill>
            <a:schemeClr val="bg2">
              <a:lumMod val="65000"/>
            </a:schemeClr>
          </a:solidFill>
          <a:ln w="19050">
            <a:solidFill>
              <a:schemeClr val="lt1"/>
            </a:solidFill>
          </a:ln>
          <a:effectLst/>
        </c:spPr>
      </c:pivotFmt>
      <c:pivotFmt>
        <c:idx val="14"/>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solidFill>
          <a:ln w="19050">
            <a:solidFill>
              <a:schemeClr val="lt1"/>
            </a:solidFill>
          </a:ln>
          <a:effectLst/>
        </c:spPr>
      </c:pivotFmt>
      <c:pivotFmt>
        <c:idx val="17"/>
        <c:spPr>
          <a:solidFill>
            <a:schemeClr val="tx2">
              <a:lumMod val="65000"/>
              <a:lumOff val="35000"/>
            </a:schemeClr>
          </a:solidFill>
          <a:ln w="19050">
            <a:solidFill>
              <a:schemeClr val="lt1"/>
            </a:solidFill>
          </a:ln>
          <a:effectLst/>
        </c:spPr>
      </c:pivotFmt>
      <c:pivotFmt>
        <c:idx val="18"/>
        <c:spPr>
          <a:solidFill>
            <a:schemeClr val="bg2">
              <a:lumMod val="65000"/>
            </a:schemeClr>
          </a:solidFill>
          <a:ln w="19050">
            <a:solidFill>
              <a:schemeClr val="lt1"/>
            </a:solidFill>
          </a:ln>
          <a:effectLst/>
        </c:spPr>
      </c:pivotFmt>
      <c:pivotFmt>
        <c:idx val="19"/>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2"/>
          </a:solidFill>
          <a:ln w="19050">
            <a:solidFill>
              <a:schemeClr val="lt1"/>
            </a:solidFill>
          </a:ln>
          <a:effectLst/>
        </c:spPr>
      </c:pivotFmt>
      <c:pivotFmt>
        <c:idx val="22"/>
        <c:spPr>
          <a:solidFill>
            <a:schemeClr val="tx2">
              <a:lumMod val="65000"/>
              <a:lumOff val="35000"/>
            </a:schemeClr>
          </a:solidFill>
          <a:ln w="19050">
            <a:solidFill>
              <a:schemeClr val="lt1"/>
            </a:solidFill>
          </a:ln>
          <a:effectLst/>
        </c:spPr>
      </c:pivotFmt>
      <c:pivotFmt>
        <c:idx val="23"/>
        <c:spPr>
          <a:solidFill>
            <a:schemeClr val="bg2">
              <a:lumMod val="65000"/>
            </a:schemeClr>
          </a:solidFill>
          <a:ln w="19050">
            <a:solidFill>
              <a:schemeClr val="lt1"/>
            </a:solidFill>
          </a:ln>
          <a:effectLst/>
        </c:spPr>
      </c:pivotFmt>
      <c:pivotFmt>
        <c:idx val="24"/>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pivotFmt>
    </c:pivotFmts>
    <c:plotArea>
      <c:layout/>
      <c:pieChart>
        <c:varyColors val="1"/>
        <c:ser>
          <c:idx val="0"/>
          <c:order val="0"/>
          <c:tx>
            <c:strRef>
              <c:f>'Q3'!$B$3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11C1-4FE6-8DE3-68D8A857DB2F}"/>
              </c:ext>
            </c:extLst>
          </c:dPt>
          <c:dPt>
            <c:idx val="1"/>
            <c:bubble3D val="0"/>
            <c:spPr>
              <a:solidFill>
                <a:schemeClr val="tx2">
                  <a:lumMod val="65000"/>
                  <a:lumOff val="35000"/>
                </a:schemeClr>
              </a:solidFill>
              <a:ln w="19050">
                <a:solidFill>
                  <a:schemeClr val="lt1"/>
                </a:solidFill>
              </a:ln>
              <a:effectLst/>
            </c:spPr>
            <c:extLst>
              <c:ext xmlns:c16="http://schemas.microsoft.com/office/drawing/2014/chart" uri="{C3380CC4-5D6E-409C-BE32-E72D297353CC}">
                <c16:uniqueId val="{00000003-11C1-4FE6-8DE3-68D8A857DB2F}"/>
              </c:ext>
            </c:extLst>
          </c:dPt>
          <c:dPt>
            <c:idx val="2"/>
            <c:bubble3D val="0"/>
            <c:spPr>
              <a:solidFill>
                <a:schemeClr val="bg2">
                  <a:lumMod val="65000"/>
                </a:schemeClr>
              </a:solidFill>
              <a:ln w="19050">
                <a:solidFill>
                  <a:schemeClr val="lt1"/>
                </a:solidFill>
              </a:ln>
              <a:effectLst/>
            </c:spPr>
            <c:extLst>
              <c:ext xmlns:c16="http://schemas.microsoft.com/office/drawing/2014/chart" uri="{C3380CC4-5D6E-409C-BE32-E72D297353CC}">
                <c16:uniqueId val="{00000005-11C1-4FE6-8DE3-68D8A857DB2F}"/>
              </c:ext>
            </c:extLst>
          </c:dPt>
          <c:dPt>
            <c:idx val="3"/>
            <c:bubble3D val="0"/>
            <c:spPr>
              <a:solidFill>
                <a:schemeClr val="bg1">
                  <a:lumMod val="85000"/>
                </a:schemeClr>
              </a:solidFill>
              <a:ln w="19050">
                <a:solidFill>
                  <a:schemeClr val="lt1"/>
                </a:solidFill>
              </a:ln>
              <a:effectLst>
                <a:outerShdw blurRad="50800" dist="50800" dir="14940000" sx="10000" sy="10000" algn="ctr" rotWithShape="0">
                  <a:srgbClr val="000000">
                    <a:alpha val="37000"/>
                  </a:srgbClr>
                </a:outerShdw>
              </a:effectLst>
            </c:spPr>
            <c:extLst>
              <c:ext xmlns:c16="http://schemas.microsoft.com/office/drawing/2014/chart" uri="{C3380CC4-5D6E-409C-BE32-E72D297353CC}">
                <c16:uniqueId val="{00000007-11C1-4FE6-8DE3-68D8A857DB2F}"/>
              </c:ext>
            </c:extLst>
          </c:dPt>
          <c:cat>
            <c:strRef>
              <c:f>'Q3'!$A$4:$A$8</c:f>
              <c:strCache>
                <c:ptCount val="4"/>
                <c:pt idx="0">
                  <c:v>Long</c:v>
                </c:pt>
                <c:pt idx="1">
                  <c:v>Medium</c:v>
                </c:pt>
                <c:pt idx="2">
                  <c:v>Short</c:v>
                </c:pt>
                <c:pt idx="3">
                  <c:v>Very short</c:v>
                </c:pt>
              </c:strCache>
            </c:strRef>
          </c:cat>
          <c:val>
            <c:numRef>
              <c:f>'Q3'!$B$4:$B$8</c:f>
              <c:numCache>
                <c:formatCode>General</c:formatCode>
                <c:ptCount val="4"/>
                <c:pt idx="0">
                  <c:v>761</c:v>
                </c:pt>
                <c:pt idx="1">
                  <c:v>179</c:v>
                </c:pt>
                <c:pt idx="2">
                  <c:v>44</c:v>
                </c:pt>
                <c:pt idx="3">
                  <c:v>16</c:v>
                </c:pt>
              </c:numCache>
            </c:numRef>
          </c:val>
          <c:extLst>
            <c:ext xmlns:c16="http://schemas.microsoft.com/office/drawing/2014/chart" uri="{C3380CC4-5D6E-409C-BE32-E72D297353CC}">
              <c16:uniqueId val="{00000008-11C1-4FE6-8DE3-68D8A857DB2F}"/>
            </c:ext>
          </c:extLst>
        </c:ser>
        <c:dLbls>
          <c:showLegendKey val="0"/>
          <c:showVal val="0"/>
          <c:showCatName val="0"/>
          <c:showSerName val="0"/>
          <c:showPercent val="0"/>
          <c:showBubbleSize val="0"/>
          <c:showLeaderLines val="1"/>
        </c:dLbls>
        <c:firstSliceAng val="79"/>
      </c:pieChart>
      <c:spPr>
        <a:noFill/>
        <a:ln>
          <a:noFill/>
        </a:ln>
        <a:effectLst/>
      </c:spPr>
    </c:plotArea>
    <c:legend>
      <c:legendPos val="b"/>
      <c:legendEntry>
        <c:idx val="0"/>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900" b="0" i="0" u="none" strike="noStrike" kern="1200" baseline="0">
                <a:solidFill>
                  <a:schemeClr val="tx2">
                    <a:lumMod val="85000"/>
                    <a:lumOff val="1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tx2">
                    <a:lumMod val="85000"/>
                    <a:lumOff val="15000"/>
                  </a:schemeClr>
                </a:solidFill>
                <a:latin typeface="+mn-lt"/>
                <a:ea typeface="+mn-ea"/>
                <a:cs typeface="+mn-cs"/>
              </a:defRPr>
            </a:pPr>
            <a:endParaRPr lang="en-US"/>
          </a:p>
        </c:txPr>
      </c:legendEntry>
      <c:layout>
        <c:manualLayout>
          <c:xMode val="edge"/>
          <c:yMode val="edge"/>
          <c:x val="0.11085870516185478"/>
          <c:y val="0.8616892680081657"/>
          <c:w val="0.78106036745406826"/>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Data_DataSource.xlsx]Q4!RevenueByDay</c:name>
    <c:fmtId val="8"/>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Revenue By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c:f>
              <c:strCache>
                <c:ptCount val="1"/>
                <c:pt idx="0">
                  <c:v>Total</c:v>
                </c:pt>
              </c:strCache>
            </c:strRef>
          </c:tx>
          <c:spPr>
            <a:solidFill>
              <a:srgbClr val="0070C0"/>
            </a:solidFill>
            <a:ln>
              <a:noFill/>
            </a:ln>
            <a:effectLst/>
          </c:spPr>
          <c:invertIfNegative val="0"/>
          <c:cat>
            <c:strRef>
              <c:f>'Q4'!$A$4:$A$11</c:f>
              <c:strCache>
                <c:ptCount val="7"/>
                <c:pt idx="0">
                  <c:v>Saturday</c:v>
                </c:pt>
                <c:pt idx="1">
                  <c:v>Wednesday</c:v>
                </c:pt>
                <c:pt idx="2">
                  <c:v>Sunday</c:v>
                </c:pt>
                <c:pt idx="3">
                  <c:v>Tuesday</c:v>
                </c:pt>
                <c:pt idx="4">
                  <c:v>Friday</c:v>
                </c:pt>
                <c:pt idx="5">
                  <c:v>Monday</c:v>
                </c:pt>
                <c:pt idx="6">
                  <c:v>Thursday</c:v>
                </c:pt>
              </c:strCache>
            </c:strRef>
          </c:cat>
          <c:val>
            <c:numRef>
              <c:f>'Q4'!$B$4:$B$11</c:f>
              <c:numCache>
                <c:formatCode>"$"#,##0.00</c:formatCode>
                <c:ptCount val="7"/>
                <c:pt idx="0">
                  <c:v>16007</c:v>
                </c:pt>
                <c:pt idx="1">
                  <c:v>15702</c:v>
                </c:pt>
                <c:pt idx="2">
                  <c:v>13476</c:v>
                </c:pt>
                <c:pt idx="3">
                  <c:v>13143</c:v>
                </c:pt>
                <c:pt idx="4">
                  <c:v>13120</c:v>
                </c:pt>
                <c:pt idx="5">
                  <c:v>13054</c:v>
                </c:pt>
                <c:pt idx="6">
                  <c:v>12121</c:v>
                </c:pt>
              </c:numCache>
            </c:numRef>
          </c:val>
          <c:extLst>
            <c:ext xmlns:c16="http://schemas.microsoft.com/office/drawing/2014/chart" uri="{C3380CC4-5D6E-409C-BE32-E72D297353CC}">
              <c16:uniqueId val="{00000000-AA91-44D9-88C5-44E8B0B51C7B}"/>
            </c:ext>
          </c:extLst>
        </c:ser>
        <c:dLbls>
          <c:showLegendKey val="0"/>
          <c:showVal val="0"/>
          <c:showCatName val="0"/>
          <c:showSerName val="0"/>
          <c:showPercent val="0"/>
          <c:showBubbleSize val="0"/>
        </c:dLbls>
        <c:gapWidth val="150"/>
        <c:axId val="648332216"/>
        <c:axId val="648340856"/>
      </c:barChart>
      <c:catAx>
        <c:axId val="648332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40856"/>
        <c:crosses val="autoZero"/>
        <c:auto val="1"/>
        <c:lblAlgn val="ctr"/>
        <c:lblOffset val="100"/>
        <c:noMultiLvlLbl val="0"/>
      </c:catAx>
      <c:valAx>
        <c:axId val="648340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22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Data_DataSource.xlsx]Q5!CallsBy Representive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Num</a:t>
            </a:r>
            <a:r>
              <a:rPr lang="en-US" b="1" baseline="0">
                <a:solidFill>
                  <a:schemeClr val="accent1">
                    <a:lumMod val="75000"/>
                  </a:schemeClr>
                </a:solidFill>
              </a:rPr>
              <a:t> Of Calles</a:t>
            </a:r>
            <a:endParaRPr lang="en-US" b="1">
              <a:solidFill>
                <a:schemeClr val="accent1">
                  <a:lumMod val="75000"/>
                </a:schemeClr>
              </a:solidFill>
            </a:endParaRPr>
          </a:p>
        </c:rich>
      </c:tx>
      <c:layout>
        <c:manualLayout>
          <c:xMode val="edge"/>
          <c:yMode val="edge"/>
          <c:x val="0.3744304461942257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'Q5'!$B$1</c:f>
              <c:strCache>
                <c:ptCount val="1"/>
                <c:pt idx="0">
                  <c:v>Total</c:v>
                </c:pt>
              </c:strCache>
            </c:strRef>
          </c:tx>
          <c:spPr>
            <a:solidFill>
              <a:schemeClr val="tx2">
                <a:lumMod val="75000"/>
                <a:lumOff val="25000"/>
              </a:schemeClr>
            </a:solidFill>
            <a:ln>
              <a:noFill/>
            </a:ln>
            <a:effectLst/>
          </c:spPr>
          <c:invertIfNegative val="0"/>
          <c:cat>
            <c:strRef>
              <c:f>'Q5'!$A$2:$A$7</c:f>
              <c:strCache>
                <c:ptCount val="5"/>
                <c:pt idx="0">
                  <c:v>R02</c:v>
                </c:pt>
                <c:pt idx="1">
                  <c:v>R03</c:v>
                </c:pt>
                <c:pt idx="2">
                  <c:v>R05</c:v>
                </c:pt>
                <c:pt idx="3">
                  <c:v>R01</c:v>
                </c:pt>
                <c:pt idx="4">
                  <c:v>R04</c:v>
                </c:pt>
              </c:strCache>
            </c:strRef>
          </c:cat>
          <c:val>
            <c:numRef>
              <c:f>'Q5'!$B$2:$B$7</c:f>
              <c:numCache>
                <c:formatCode>General</c:formatCode>
                <c:ptCount val="5"/>
                <c:pt idx="0">
                  <c:v>218</c:v>
                </c:pt>
                <c:pt idx="1">
                  <c:v>207</c:v>
                </c:pt>
                <c:pt idx="2">
                  <c:v>200</c:v>
                </c:pt>
                <c:pt idx="3">
                  <c:v>189</c:v>
                </c:pt>
                <c:pt idx="4">
                  <c:v>186</c:v>
                </c:pt>
              </c:numCache>
            </c:numRef>
          </c:val>
          <c:extLst>
            <c:ext xmlns:c16="http://schemas.microsoft.com/office/drawing/2014/chart" uri="{C3380CC4-5D6E-409C-BE32-E72D297353CC}">
              <c16:uniqueId val="{00000000-BD39-4DB9-94B4-E63E31C53AED}"/>
            </c:ext>
          </c:extLst>
        </c:ser>
        <c:dLbls>
          <c:showLegendKey val="0"/>
          <c:showVal val="0"/>
          <c:showCatName val="0"/>
          <c:showSerName val="0"/>
          <c:showPercent val="0"/>
          <c:showBubbleSize val="0"/>
        </c:dLbls>
        <c:gapWidth val="182"/>
        <c:axId val="648339776"/>
        <c:axId val="648336176"/>
      </c:barChart>
      <c:catAx>
        <c:axId val="64833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6176"/>
        <c:crosses val="autoZero"/>
        <c:auto val="1"/>
        <c:lblAlgn val="ctr"/>
        <c:lblOffset val="100"/>
        <c:noMultiLvlLbl val="0"/>
      </c:catAx>
      <c:valAx>
        <c:axId val="64833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33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Data_DataSource.xlsx]Q6!CallsByDay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Calls By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'Q6'!$B$1</c:f>
              <c:strCache>
                <c:ptCount val="1"/>
                <c:pt idx="0">
                  <c:v>Total</c:v>
                </c:pt>
              </c:strCache>
            </c:strRef>
          </c:tx>
          <c:spPr>
            <a:solidFill>
              <a:schemeClr val="tx2">
                <a:lumMod val="90000"/>
                <a:lumOff val="10000"/>
              </a:schemeClr>
            </a:solidFill>
            <a:ln>
              <a:noFill/>
            </a:ln>
            <a:effectLst/>
          </c:spPr>
          <c:invertIfNegative val="0"/>
          <c:cat>
            <c:strRef>
              <c:f>'Q6'!$A$2:$A$9</c:f>
              <c:strCache>
                <c:ptCount val="7"/>
                <c:pt idx="0">
                  <c:v>Saturday</c:v>
                </c:pt>
                <c:pt idx="1">
                  <c:v>Wednesday</c:v>
                </c:pt>
                <c:pt idx="2">
                  <c:v>Sunday</c:v>
                </c:pt>
                <c:pt idx="3">
                  <c:v>Friday</c:v>
                </c:pt>
                <c:pt idx="4">
                  <c:v>Tuesday</c:v>
                </c:pt>
                <c:pt idx="5">
                  <c:v>Monday</c:v>
                </c:pt>
                <c:pt idx="6">
                  <c:v>Thursday</c:v>
                </c:pt>
              </c:strCache>
            </c:strRef>
          </c:cat>
          <c:val>
            <c:numRef>
              <c:f>'Q6'!$B$2:$B$9</c:f>
              <c:numCache>
                <c:formatCode>General</c:formatCode>
                <c:ptCount val="7"/>
                <c:pt idx="0">
                  <c:v>161</c:v>
                </c:pt>
                <c:pt idx="1">
                  <c:v>153</c:v>
                </c:pt>
                <c:pt idx="2">
                  <c:v>146</c:v>
                </c:pt>
                <c:pt idx="3">
                  <c:v>141</c:v>
                </c:pt>
                <c:pt idx="4">
                  <c:v>138</c:v>
                </c:pt>
                <c:pt idx="5">
                  <c:v>133</c:v>
                </c:pt>
                <c:pt idx="6">
                  <c:v>128</c:v>
                </c:pt>
              </c:numCache>
            </c:numRef>
          </c:val>
          <c:extLst>
            <c:ext xmlns:c16="http://schemas.microsoft.com/office/drawing/2014/chart" uri="{C3380CC4-5D6E-409C-BE32-E72D297353CC}">
              <c16:uniqueId val="{00000000-F427-4719-877B-3F0B737C4FF4}"/>
            </c:ext>
          </c:extLst>
        </c:ser>
        <c:dLbls>
          <c:showLegendKey val="0"/>
          <c:showVal val="0"/>
          <c:showCatName val="0"/>
          <c:showSerName val="0"/>
          <c:showPercent val="0"/>
          <c:showBubbleSize val="0"/>
        </c:dLbls>
        <c:gapWidth val="219"/>
        <c:overlap val="-27"/>
        <c:axId val="384759944"/>
        <c:axId val="384757424"/>
      </c:barChart>
      <c:catAx>
        <c:axId val="38475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7424"/>
        <c:crosses val="autoZero"/>
        <c:auto val="1"/>
        <c:lblAlgn val="ctr"/>
        <c:lblOffset val="100"/>
        <c:noMultiLvlLbl val="0"/>
      </c:catAx>
      <c:valAx>
        <c:axId val="38475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9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E9D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615950</xdr:colOff>
      <xdr:row>2</xdr:row>
      <xdr:rowOff>146050</xdr:rowOff>
    </xdr:from>
    <xdr:to>
      <xdr:col>25</xdr:col>
      <xdr:colOff>230909</xdr:colOff>
      <xdr:row>48</xdr:row>
      <xdr:rowOff>112059</xdr:rowOff>
    </xdr:to>
    <xdr:sp macro="" textlink="">
      <xdr:nvSpPr>
        <xdr:cNvPr id="4" name="Rectangle: Rounded Corners 3">
          <a:extLst>
            <a:ext uri="{FF2B5EF4-FFF2-40B4-BE49-F238E27FC236}">
              <a16:creationId xmlns:a16="http://schemas.microsoft.com/office/drawing/2014/main" id="{6615590B-EE4B-05F7-EEC9-64DA0D2CF676}"/>
            </a:ext>
          </a:extLst>
        </xdr:cNvPr>
        <xdr:cNvSpPr/>
      </xdr:nvSpPr>
      <xdr:spPr>
        <a:xfrm>
          <a:off x="615950" y="517757"/>
          <a:ext cx="16264349" cy="8840522"/>
        </a:xfrm>
        <a:prstGeom prst="roundRect">
          <a:avLst>
            <a:gd name="adj" fmla="val 180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635000</xdr:colOff>
      <xdr:row>4</xdr:row>
      <xdr:rowOff>90475</xdr:rowOff>
    </xdr:from>
    <xdr:to>
      <xdr:col>23</xdr:col>
      <xdr:colOff>163560</xdr:colOff>
      <xdr:row>11</xdr:row>
      <xdr:rowOff>9578</xdr:rowOff>
    </xdr:to>
    <xdr:sp macro="" textlink="">
      <xdr:nvSpPr>
        <xdr:cNvPr id="12" name="Rectangle: Rounded Corners 11">
          <a:extLst>
            <a:ext uri="{FF2B5EF4-FFF2-40B4-BE49-F238E27FC236}">
              <a16:creationId xmlns:a16="http://schemas.microsoft.com/office/drawing/2014/main" id="{DE9D62B5-F40F-4BEE-BD90-95DAC0DE4D23}"/>
            </a:ext>
          </a:extLst>
        </xdr:cNvPr>
        <xdr:cNvSpPr/>
      </xdr:nvSpPr>
      <xdr:spPr>
        <a:xfrm>
          <a:off x="13288537" y="833890"/>
          <a:ext cx="2192462" cy="12200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a:solidFill>
                <a:schemeClr val="accent1"/>
              </a:solidFill>
              <a:latin typeface="+mn-lt"/>
              <a:ea typeface="+mn-ea"/>
              <a:cs typeface="+mn-cs"/>
            </a:rPr>
            <a:t>Highest Satisfaction Rating Rpresentive is R01</a:t>
          </a:r>
        </a:p>
        <a:p>
          <a:pPr marL="0" indent="0" algn="l"/>
          <a:endParaRPr lang="en-US" sz="1600" b="1">
            <a:solidFill>
              <a:schemeClr val="accent1"/>
            </a:solidFill>
            <a:latin typeface="+mn-lt"/>
            <a:ea typeface="+mn-ea"/>
            <a:cs typeface="+mn-cs"/>
          </a:endParaRPr>
        </a:p>
      </xdr:txBody>
    </xdr:sp>
    <xdr:clientData/>
  </xdr:twoCellAnchor>
  <xdr:twoCellAnchor>
    <xdr:from>
      <xdr:col>15</xdr:col>
      <xdr:colOff>469614</xdr:colOff>
      <xdr:row>4</xdr:row>
      <xdr:rowOff>82880</xdr:rowOff>
    </xdr:from>
    <xdr:to>
      <xdr:col>19</xdr:col>
      <xdr:colOff>52535</xdr:colOff>
      <xdr:row>11</xdr:row>
      <xdr:rowOff>17174</xdr:rowOff>
    </xdr:to>
    <xdr:sp macro="" textlink="">
      <xdr:nvSpPr>
        <xdr:cNvPr id="13" name="Rectangle: Rounded Corners 12">
          <a:extLst>
            <a:ext uri="{FF2B5EF4-FFF2-40B4-BE49-F238E27FC236}">
              <a16:creationId xmlns:a16="http://schemas.microsoft.com/office/drawing/2014/main" id="{EAF25463-2D36-4178-A61C-CC42245F6199}"/>
            </a:ext>
          </a:extLst>
        </xdr:cNvPr>
        <xdr:cNvSpPr/>
      </xdr:nvSpPr>
      <xdr:spPr>
        <a:xfrm>
          <a:off x="10459248" y="826295"/>
          <a:ext cx="2246824" cy="12352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a:solidFill>
                <a:schemeClr val="accent1"/>
              </a:solidFill>
              <a:latin typeface="+mn-lt"/>
              <a:ea typeface="+mn-ea"/>
              <a:cs typeface="+mn-cs"/>
            </a:rPr>
            <a:t>Highest Revenue Day is Saturday</a:t>
          </a:r>
        </a:p>
        <a:p>
          <a:pPr marL="0" indent="0" algn="l"/>
          <a:endParaRPr lang="en-US" sz="1600" b="1">
            <a:solidFill>
              <a:schemeClr val="accent1"/>
            </a:solidFill>
            <a:latin typeface="+mn-lt"/>
            <a:ea typeface="+mn-ea"/>
            <a:cs typeface="+mn-cs"/>
          </a:endParaRPr>
        </a:p>
      </xdr:txBody>
    </xdr:sp>
    <xdr:clientData/>
  </xdr:twoCellAnchor>
  <xdr:twoCellAnchor>
    <xdr:from>
      <xdr:col>11</xdr:col>
      <xdr:colOff>301049</xdr:colOff>
      <xdr:row>4</xdr:row>
      <xdr:rowOff>81631</xdr:rowOff>
    </xdr:from>
    <xdr:to>
      <xdr:col>14</xdr:col>
      <xdr:colOff>553124</xdr:colOff>
      <xdr:row>11</xdr:row>
      <xdr:rowOff>18422</xdr:rowOff>
    </xdr:to>
    <xdr:sp macro="" textlink="">
      <xdr:nvSpPr>
        <xdr:cNvPr id="14" name="Rectangle: Rounded Corners 13">
          <a:extLst>
            <a:ext uri="{FF2B5EF4-FFF2-40B4-BE49-F238E27FC236}">
              <a16:creationId xmlns:a16="http://schemas.microsoft.com/office/drawing/2014/main" id="{95A3C604-E32B-4325-B325-641008998DEA}"/>
            </a:ext>
          </a:extLst>
        </xdr:cNvPr>
        <xdr:cNvSpPr/>
      </xdr:nvSpPr>
      <xdr:spPr>
        <a:xfrm>
          <a:off x="7626781" y="825046"/>
          <a:ext cx="2250002" cy="12377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a:solidFill>
                <a:schemeClr val="accent1"/>
              </a:solidFill>
              <a:latin typeface="+mn-lt"/>
              <a:ea typeface="+mn-ea"/>
              <a:cs typeface="+mn-cs"/>
            </a:rPr>
            <a:t>Most ferquently Dyaration category Is LONG</a:t>
          </a:r>
        </a:p>
        <a:p>
          <a:pPr marL="0" indent="0" algn="l"/>
          <a:endParaRPr lang="en-US" sz="1600" b="1">
            <a:solidFill>
              <a:schemeClr val="accent1"/>
            </a:solidFill>
            <a:latin typeface="+mn-lt"/>
            <a:ea typeface="+mn-ea"/>
            <a:cs typeface="+mn-cs"/>
          </a:endParaRPr>
        </a:p>
      </xdr:txBody>
    </xdr:sp>
    <xdr:clientData/>
  </xdr:twoCellAnchor>
  <xdr:twoCellAnchor>
    <xdr:from>
      <xdr:col>7</xdr:col>
      <xdr:colOff>60808</xdr:colOff>
      <xdr:row>4</xdr:row>
      <xdr:rowOff>69076</xdr:rowOff>
    </xdr:from>
    <xdr:to>
      <xdr:col>10</xdr:col>
      <xdr:colOff>384560</xdr:colOff>
      <xdr:row>11</xdr:row>
      <xdr:rowOff>30977</xdr:rowOff>
    </xdr:to>
    <xdr:sp macro="" textlink="">
      <xdr:nvSpPr>
        <xdr:cNvPr id="15" name="Rectangle: Rounded Corners 14">
          <a:extLst>
            <a:ext uri="{FF2B5EF4-FFF2-40B4-BE49-F238E27FC236}">
              <a16:creationId xmlns:a16="http://schemas.microsoft.com/office/drawing/2014/main" id="{96B40436-4455-4321-9497-397707181066}"/>
            </a:ext>
          </a:extLst>
        </xdr:cNvPr>
        <xdr:cNvSpPr/>
      </xdr:nvSpPr>
      <xdr:spPr>
        <a:xfrm>
          <a:off x="4722637" y="812491"/>
          <a:ext cx="2321679" cy="12628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accent1"/>
              </a:solidFill>
              <a:latin typeface="+mn-lt"/>
              <a:ea typeface="+mn-ea"/>
              <a:cs typeface="+mn-cs"/>
            </a:rPr>
            <a:t>Total Calls</a:t>
          </a:r>
        </a:p>
        <a:p>
          <a:pPr marL="0" indent="0" algn="ctr"/>
          <a:r>
            <a:rPr lang="en-US" sz="1600" b="1">
              <a:solidFill>
                <a:schemeClr val="accent1"/>
              </a:solidFill>
              <a:latin typeface="+mn-lt"/>
              <a:ea typeface="+mn-ea"/>
              <a:cs typeface="+mn-cs"/>
            </a:rPr>
            <a:t>1000</a:t>
          </a:r>
        </a:p>
        <a:p>
          <a:pPr marL="0" indent="0" algn="l"/>
          <a:endParaRPr lang="en-US" sz="1600" b="1">
            <a:solidFill>
              <a:schemeClr val="accent1"/>
            </a:solidFill>
            <a:latin typeface="+mn-lt"/>
            <a:ea typeface="+mn-ea"/>
            <a:cs typeface="+mn-cs"/>
          </a:endParaRPr>
        </a:p>
      </xdr:txBody>
    </xdr:sp>
    <xdr:clientData/>
  </xdr:twoCellAnchor>
  <xdr:twoCellAnchor>
    <xdr:from>
      <xdr:col>2</xdr:col>
      <xdr:colOff>509925</xdr:colOff>
      <xdr:row>4</xdr:row>
      <xdr:rowOff>70954</xdr:rowOff>
    </xdr:from>
    <xdr:to>
      <xdr:col>6</xdr:col>
      <xdr:colOff>144318</xdr:colOff>
      <xdr:row>11</xdr:row>
      <xdr:rowOff>29100</xdr:rowOff>
    </xdr:to>
    <xdr:sp macro="" textlink="">
      <xdr:nvSpPr>
        <xdr:cNvPr id="16" name="Rectangle: Rounded Corners 15">
          <a:extLst>
            <a:ext uri="{FF2B5EF4-FFF2-40B4-BE49-F238E27FC236}">
              <a16:creationId xmlns:a16="http://schemas.microsoft.com/office/drawing/2014/main" id="{B050D561-4A1C-4A3F-B45F-68974FE71209}"/>
            </a:ext>
          </a:extLst>
        </xdr:cNvPr>
        <xdr:cNvSpPr/>
      </xdr:nvSpPr>
      <xdr:spPr>
        <a:xfrm>
          <a:off x="1841876" y="814369"/>
          <a:ext cx="2298296" cy="12591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accent1"/>
              </a:solidFill>
              <a:latin typeface="+mn-lt"/>
              <a:ea typeface="+mn-ea"/>
              <a:cs typeface="+mn-cs"/>
            </a:rPr>
            <a:t>Highest sales Representive</a:t>
          </a:r>
        </a:p>
        <a:p>
          <a:pPr marL="0" indent="0" algn="ctr"/>
          <a:r>
            <a:rPr lang="en-US" sz="1600" b="1">
              <a:solidFill>
                <a:schemeClr val="accent1"/>
              </a:solidFill>
              <a:latin typeface="+mn-lt"/>
              <a:ea typeface="+mn-ea"/>
              <a:cs typeface="+mn-cs"/>
            </a:rPr>
            <a:t>R03 </a:t>
          </a:r>
        </a:p>
        <a:p>
          <a:pPr marL="0" indent="0" algn="l"/>
          <a:endParaRPr lang="en-US" sz="1600" b="1">
            <a:solidFill>
              <a:schemeClr val="accent1"/>
            </a:solidFill>
            <a:latin typeface="+mn-lt"/>
            <a:ea typeface="+mn-ea"/>
            <a:cs typeface="+mn-cs"/>
          </a:endParaRPr>
        </a:p>
      </xdr:txBody>
    </xdr:sp>
    <xdr:clientData/>
  </xdr:twoCellAnchor>
  <xdr:twoCellAnchor>
    <xdr:from>
      <xdr:col>1</xdr:col>
      <xdr:colOff>235185</xdr:colOff>
      <xdr:row>12</xdr:row>
      <xdr:rowOff>102149</xdr:rowOff>
    </xdr:from>
    <xdr:to>
      <xdr:col>25</xdr:col>
      <xdr:colOff>0</xdr:colOff>
      <xdr:row>12</xdr:row>
      <xdr:rowOff>147421</xdr:rowOff>
    </xdr:to>
    <xdr:sp macro="" textlink="">
      <xdr:nvSpPr>
        <xdr:cNvPr id="18" name="Rectangle 17">
          <a:extLst>
            <a:ext uri="{FF2B5EF4-FFF2-40B4-BE49-F238E27FC236}">
              <a16:creationId xmlns:a16="http://schemas.microsoft.com/office/drawing/2014/main" id="{0A04AF14-9B9C-DDA4-3391-76EDE8FCDE3F}"/>
            </a:ext>
          </a:extLst>
        </xdr:cNvPr>
        <xdr:cNvSpPr/>
      </xdr:nvSpPr>
      <xdr:spPr>
        <a:xfrm flipV="1">
          <a:off x="901161" y="2332393"/>
          <a:ext cx="15748229" cy="452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482600</xdr:colOff>
      <xdr:row>30</xdr:row>
      <xdr:rowOff>115841</xdr:rowOff>
    </xdr:from>
    <xdr:to>
      <xdr:col>16</xdr:col>
      <xdr:colOff>482600</xdr:colOff>
      <xdr:row>45</xdr:row>
      <xdr:rowOff>173760</xdr:rowOff>
    </xdr:to>
    <xdr:graphicFrame macro="">
      <xdr:nvGraphicFramePr>
        <xdr:cNvPr id="20" name="Chart 19">
          <a:extLst>
            <a:ext uri="{FF2B5EF4-FFF2-40B4-BE49-F238E27FC236}">
              <a16:creationId xmlns:a16="http://schemas.microsoft.com/office/drawing/2014/main" id="{C21C3393-6707-4BCA-88DD-416E8BF38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201082</xdr:colOff>
      <xdr:row>30</xdr:row>
      <xdr:rowOff>119109</xdr:rowOff>
    </xdr:from>
    <xdr:to>
      <xdr:col>8</xdr:col>
      <xdr:colOff>412749</xdr:colOff>
      <xdr:row>45</xdr:row>
      <xdr:rowOff>174144</xdr:rowOff>
    </xdr:to>
    <xdr:graphicFrame macro="">
      <xdr:nvGraphicFramePr>
        <xdr:cNvPr id="22" name="Chart 21">
          <a:extLst>
            <a:ext uri="{FF2B5EF4-FFF2-40B4-BE49-F238E27FC236}">
              <a16:creationId xmlns:a16="http://schemas.microsoft.com/office/drawing/2014/main" id="{DCFDB2FF-5BCE-4932-8BF8-3F7314900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305740</xdr:colOff>
      <xdr:row>14</xdr:row>
      <xdr:rowOff>40025</xdr:rowOff>
    </xdr:from>
    <xdr:to>
      <xdr:col>8</xdr:col>
      <xdr:colOff>407748</xdr:colOff>
      <xdr:row>29</xdr:row>
      <xdr:rowOff>20975</xdr:rowOff>
    </xdr:to>
    <xdr:graphicFrame macro="">
      <xdr:nvGraphicFramePr>
        <xdr:cNvPr id="24" name="Chart 23">
          <a:extLst>
            <a:ext uri="{FF2B5EF4-FFF2-40B4-BE49-F238E27FC236}">
              <a16:creationId xmlns:a16="http://schemas.microsoft.com/office/drawing/2014/main" id="{72E5DE13-CF06-4D60-AC2E-B5D9D5197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546100</xdr:colOff>
      <xdr:row>30</xdr:row>
      <xdr:rowOff>174530</xdr:rowOff>
    </xdr:from>
    <xdr:to>
      <xdr:col>24</xdr:col>
      <xdr:colOff>647700</xdr:colOff>
      <xdr:row>45</xdr:row>
      <xdr:rowOff>175685</xdr:rowOff>
    </xdr:to>
    <xdr:graphicFrame macro="">
      <xdr:nvGraphicFramePr>
        <xdr:cNvPr id="26" name="Chart 25">
          <a:extLst>
            <a:ext uri="{FF2B5EF4-FFF2-40B4-BE49-F238E27FC236}">
              <a16:creationId xmlns:a16="http://schemas.microsoft.com/office/drawing/2014/main" id="{4417630E-ADCE-4F09-8BC5-D81A577E8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480484</xdr:colOff>
      <xdr:row>14</xdr:row>
      <xdr:rowOff>42623</xdr:rowOff>
    </xdr:from>
    <xdr:to>
      <xdr:col>16</xdr:col>
      <xdr:colOff>520219</xdr:colOff>
      <xdr:row>29</xdr:row>
      <xdr:rowOff>43777</xdr:rowOff>
    </xdr:to>
    <xdr:graphicFrame macro="">
      <xdr:nvGraphicFramePr>
        <xdr:cNvPr id="27" name="Chart 26">
          <a:extLst>
            <a:ext uri="{FF2B5EF4-FFF2-40B4-BE49-F238E27FC236}">
              <a16:creationId xmlns:a16="http://schemas.microsoft.com/office/drawing/2014/main" id="{8911CEC8-2993-4E20-A164-3059A12A7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522817</xdr:colOff>
      <xdr:row>14</xdr:row>
      <xdr:rowOff>30211</xdr:rowOff>
    </xdr:from>
    <xdr:to>
      <xdr:col>24</xdr:col>
      <xdr:colOff>554565</xdr:colOff>
      <xdr:row>29</xdr:row>
      <xdr:rowOff>31366</xdr:rowOff>
    </xdr:to>
    <xdr:graphicFrame macro="">
      <xdr:nvGraphicFramePr>
        <xdr:cNvPr id="28" name="Chart 27">
          <a:extLst>
            <a:ext uri="{FF2B5EF4-FFF2-40B4-BE49-F238E27FC236}">
              <a16:creationId xmlns:a16="http://schemas.microsoft.com/office/drawing/2014/main" id="{7DBCFA3C-B534-4EF5-95FF-E28DF84A6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63500</xdr:colOff>
      <xdr:row>13</xdr:row>
      <xdr:rowOff>177800</xdr:rowOff>
    </xdr:from>
    <xdr:to>
      <xdr:col>9</xdr:col>
      <xdr:colOff>114300</xdr:colOff>
      <xdr:row>46</xdr:row>
      <xdr:rowOff>63500</xdr:rowOff>
    </xdr:to>
    <xdr:sp macro="" textlink="">
      <xdr:nvSpPr>
        <xdr:cNvPr id="29" name="Rectangle 28">
          <a:extLst>
            <a:ext uri="{FF2B5EF4-FFF2-40B4-BE49-F238E27FC236}">
              <a16:creationId xmlns:a16="http://schemas.microsoft.com/office/drawing/2014/main" id="{C430A358-3EA6-C46A-B3CF-533FCAE176AF}"/>
            </a:ext>
          </a:extLst>
        </xdr:cNvPr>
        <xdr:cNvSpPr/>
      </xdr:nvSpPr>
      <xdr:spPr>
        <a:xfrm>
          <a:off x="6007100" y="2654300"/>
          <a:ext cx="50800" cy="6172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157480</xdr:colOff>
      <xdr:row>14</xdr:row>
      <xdr:rowOff>8658</xdr:rowOff>
    </xdr:from>
    <xdr:to>
      <xdr:col>17</xdr:col>
      <xdr:colOff>203199</xdr:colOff>
      <xdr:row>46</xdr:row>
      <xdr:rowOff>38100</xdr:rowOff>
    </xdr:to>
    <xdr:sp macro="" textlink="">
      <xdr:nvSpPr>
        <xdr:cNvPr id="31" name="Rectangle 30">
          <a:extLst>
            <a:ext uri="{FF2B5EF4-FFF2-40B4-BE49-F238E27FC236}">
              <a16:creationId xmlns:a16="http://schemas.microsoft.com/office/drawing/2014/main" id="{24CE213D-D902-4B0D-B422-F06F8EA4B757}"/>
            </a:ext>
          </a:extLst>
        </xdr:cNvPr>
        <xdr:cNvSpPr/>
      </xdr:nvSpPr>
      <xdr:spPr>
        <a:xfrm>
          <a:off x="11384280" y="2675658"/>
          <a:ext cx="45719" cy="61254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210283</xdr:colOff>
      <xdr:row>2</xdr:row>
      <xdr:rowOff>149412</xdr:rowOff>
    </xdr:from>
    <xdr:to>
      <xdr:col>30</xdr:col>
      <xdr:colOff>386672</xdr:colOff>
      <xdr:row>48</xdr:row>
      <xdr:rowOff>99609</xdr:rowOff>
    </xdr:to>
    <xdr:sp macro="" textlink="">
      <xdr:nvSpPr>
        <xdr:cNvPr id="10243" name="Rectangle: Rounded Corners 10242">
          <a:extLst>
            <a:ext uri="{FF2B5EF4-FFF2-40B4-BE49-F238E27FC236}">
              <a16:creationId xmlns:a16="http://schemas.microsoft.com/office/drawing/2014/main" id="{F5225964-7825-8045-E4E8-FD808B1A25E8}"/>
            </a:ext>
          </a:extLst>
        </xdr:cNvPr>
        <xdr:cNvSpPr/>
      </xdr:nvSpPr>
      <xdr:spPr>
        <a:xfrm>
          <a:off x="16707832" y="522941"/>
          <a:ext cx="3475899" cy="8541374"/>
        </a:xfrm>
        <a:prstGeom prst="roundRect">
          <a:avLst>
            <a:gd name="adj" fmla="val 4839"/>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25</xdr:col>
      <xdr:colOff>394471</xdr:colOff>
      <xdr:row>4</xdr:row>
      <xdr:rowOff>105833</xdr:rowOff>
    </xdr:from>
    <xdr:to>
      <xdr:col>30</xdr:col>
      <xdr:colOff>182803</xdr:colOff>
      <xdr:row>11</xdr:row>
      <xdr:rowOff>96211</xdr:rowOff>
    </xdr:to>
    <xdr:sp macro="" textlink="">
      <xdr:nvSpPr>
        <xdr:cNvPr id="10244" name="Rectangle: Rounded Corners 10243">
          <a:extLst>
            <a:ext uri="{FF2B5EF4-FFF2-40B4-BE49-F238E27FC236}">
              <a16:creationId xmlns:a16="http://schemas.microsoft.com/office/drawing/2014/main" id="{27ACC518-1558-422A-544A-F93D7C3959FB}"/>
            </a:ext>
          </a:extLst>
        </xdr:cNvPr>
        <xdr:cNvSpPr/>
      </xdr:nvSpPr>
      <xdr:spPr>
        <a:xfrm>
          <a:off x="16991062" y="837045"/>
          <a:ext cx="3107650" cy="1269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1"/>
              </a:solidFill>
            </a:rPr>
            <a:t>Call</a:t>
          </a:r>
          <a:r>
            <a:rPr lang="en-US" sz="2000" b="1" baseline="0">
              <a:solidFill>
                <a:schemeClr val="accent1"/>
              </a:solidFill>
            </a:rPr>
            <a:t> Center Performance </a:t>
          </a:r>
        </a:p>
        <a:p>
          <a:pPr algn="ctr"/>
          <a:r>
            <a:rPr lang="en-US" sz="2000" b="1" baseline="0">
              <a:solidFill>
                <a:schemeClr val="accent1"/>
              </a:solidFill>
            </a:rPr>
            <a:t>Dashboard</a:t>
          </a:r>
          <a:endParaRPr lang="en-US" sz="1400" b="1">
            <a:solidFill>
              <a:schemeClr val="accent1"/>
            </a:solidFill>
          </a:endParaRPr>
        </a:p>
      </xdr:txBody>
    </xdr:sp>
    <xdr:clientData/>
  </xdr:twoCellAnchor>
  <xdr:twoCellAnchor>
    <xdr:from>
      <xdr:col>25</xdr:col>
      <xdr:colOff>355985</xdr:colOff>
      <xdr:row>12</xdr:row>
      <xdr:rowOff>144318</xdr:rowOff>
    </xdr:from>
    <xdr:to>
      <xdr:col>30</xdr:col>
      <xdr:colOff>307879</xdr:colOff>
      <xdr:row>13</xdr:row>
      <xdr:rowOff>9622</xdr:rowOff>
    </xdr:to>
    <xdr:sp macro="" textlink="">
      <xdr:nvSpPr>
        <xdr:cNvPr id="10245" name="Rectangle 10244">
          <a:extLst>
            <a:ext uri="{FF2B5EF4-FFF2-40B4-BE49-F238E27FC236}">
              <a16:creationId xmlns:a16="http://schemas.microsoft.com/office/drawing/2014/main" id="{12B6F94A-A574-0006-FCD5-2D9935492CA9}"/>
            </a:ext>
          </a:extLst>
        </xdr:cNvPr>
        <xdr:cNvSpPr/>
      </xdr:nvSpPr>
      <xdr:spPr>
        <a:xfrm>
          <a:off x="16952576" y="2337954"/>
          <a:ext cx="3271212" cy="48107"/>
        </a:xfrm>
        <a:prstGeom prst="rect">
          <a:avLst/>
        </a:prstGeom>
        <a:solidFill>
          <a:srgbClr val="9E9D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437110</xdr:colOff>
      <xdr:row>41</xdr:row>
      <xdr:rowOff>174314</xdr:rowOff>
    </xdr:from>
    <xdr:to>
      <xdr:col>30</xdr:col>
      <xdr:colOff>199215</xdr:colOff>
      <xdr:row>47</xdr:row>
      <xdr:rowOff>87157</xdr:rowOff>
    </xdr:to>
    <mc:AlternateContent xmlns:mc="http://schemas.openxmlformats.org/markup-compatibility/2006">
      <mc:Choice xmlns:a14="http://schemas.microsoft.com/office/drawing/2010/main" Requires="a14">
        <xdr:graphicFrame macro="">
          <xdr:nvGraphicFramePr>
            <xdr:cNvPr id="10246" name="Financial Year 1">
              <a:extLst>
                <a:ext uri="{FF2B5EF4-FFF2-40B4-BE49-F238E27FC236}">
                  <a16:creationId xmlns:a16="http://schemas.microsoft.com/office/drawing/2014/main" id="{1779FB3C-D234-4A8B-A5B8-91439CC2AB1D}"/>
                </a:ext>
              </a:extLst>
            </xdr:cNvPr>
            <xdr:cNvGraphicFramePr/>
          </xdr:nvGraphicFramePr>
          <xdr:xfrm>
            <a:off x="0" y="0"/>
            <a:ext cx="0" cy="0"/>
          </xdr:xfrm>
          <a:graphic>
            <a:graphicData uri="http://schemas.microsoft.com/office/drawing/2010/slicer">
              <sle:slicer xmlns:sle="http://schemas.microsoft.com/office/drawing/2010/slicer" name="Financial Year 1"/>
            </a:graphicData>
          </a:graphic>
        </xdr:graphicFrame>
      </mc:Choice>
      <mc:Fallback>
        <xdr:sp macro="" textlink="">
          <xdr:nvSpPr>
            <xdr:cNvPr id="0" name=""/>
            <xdr:cNvSpPr>
              <a:spLocks noTextEdit="1"/>
            </xdr:cNvSpPr>
          </xdr:nvSpPr>
          <xdr:spPr>
            <a:xfrm>
              <a:off x="17147636" y="8061682"/>
              <a:ext cx="3104211" cy="1015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421948</xdr:colOff>
      <xdr:row>14</xdr:row>
      <xdr:rowOff>26976</xdr:rowOff>
    </xdr:from>
    <xdr:to>
      <xdr:col>30</xdr:col>
      <xdr:colOff>174313</xdr:colOff>
      <xdr:row>22</xdr:row>
      <xdr:rowOff>165139</xdr:rowOff>
    </xdr:to>
    <mc:AlternateContent xmlns:mc="http://schemas.openxmlformats.org/markup-compatibility/2006">
      <mc:Choice xmlns:a14="http://schemas.microsoft.com/office/drawing/2010/main" Requires="a14">
        <xdr:graphicFrame macro="">
          <xdr:nvGraphicFramePr>
            <xdr:cNvPr id="10247" name="Representative 1">
              <a:extLst>
                <a:ext uri="{FF2B5EF4-FFF2-40B4-BE49-F238E27FC236}">
                  <a16:creationId xmlns:a16="http://schemas.microsoft.com/office/drawing/2014/main" id="{DEA664A4-0CBC-4F5C-8C5B-219BDB51C035}"/>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17132474" y="2600397"/>
              <a:ext cx="3094471" cy="1725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446850</xdr:colOff>
      <xdr:row>24</xdr:row>
      <xdr:rowOff>2074</xdr:rowOff>
    </xdr:from>
    <xdr:to>
      <xdr:col>30</xdr:col>
      <xdr:colOff>174313</xdr:colOff>
      <xdr:row>32</xdr:row>
      <xdr:rowOff>62256</xdr:rowOff>
    </xdr:to>
    <mc:AlternateContent xmlns:mc="http://schemas.openxmlformats.org/markup-compatibility/2006">
      <mc:Choice xmlns:a14="http://schemas.microsoft.com/office/drawing/2010/main" Requires="a14">
        <xdr:graphicFrame macro="">
          <xdr:nvGraphicFramePr>
            <xdr:cNvPr id="10248" name="Day of week 1">
              <a:extLst>
                <a:ext uri="{FF2B5EF4-FFF2-40B4-BE49-F238E27FC236}">
                  <a16:creationId xmlns:a16="http://schemas.microsoft.com/office/drawing/2014/main" id="{CB8C4E8E-82D5-46F3-B7B2-DABC9DE5033B}"/>
                </a:ext>
              </a:extLst>
            </xdr:cNvPr>
            <xdr:cNvGraphicFramePr/>
          </xdr:nvGraphicFramePr>
          <xdr:xfrm>
            <a:off x="0" y="0"/>
            <a:ext cx="0" cy="0"/>
          </xdr:xfrm>
          <a:graphic>
            <a:graphicData uri="http://schemas.microsoft.com/office/drawing/2010/slicer">
              <sle:slicer xmlns:sle="http://schemas.microsoft.com/office/drawing/2010/slicer" name="Day of week 1"/>
            </a:graphicData>
          </a:graphic>
        </xdr:graphicFrame>
      </mc:Choice>
      <mc:Fallback>
        <xdr:sp macro="" textlink="">
          <xdr:nvSpPr>
            <xdr:cNvPr id="0" name=""/>
            <xdr:cNvSpPr>
              <a:spLocks noTextEdit="1"/>
            </xdr:cNvSpPr>
          </xdr:nvSpPr>
          <xdr:spPr>
            <a:xfrm>
              <a:off x="17157376" y="4764574"/>
              <a:ext cx="3069569" cy="1530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434400</xdr:colOff>
      <xdr:row>32</xdr:row>
      <xdr:rowOff>176387</xdr:rowOff>
    </xdr:from>
    <xdr:to>
      <xdr:col>30</xdr:col>
      <xdr:colOff>149412</xdr:colOff>
      <xdr:row>41</xdr:row>
      <xdr:rowOff>87156</xdr:rowOff>
    </xdr:to>
    <mc:AlternateContent xmlns:mc="http://schemas.openxmlformats.org/markup-compatibility/2006">
      <mc:Choice xmlns:a14="http://schemas.microsoft.com/office/drawing/2010/main" Requires="a14">
        <xdr:graphicFrame macro="">
          <xdr:nvGraphicFramePr>
            <xdr:cNvPr id="10249" name="Duration Category 1">
              <a:extLst>
                <a:ext uri="{FF2B5EF4-FFF2-40B4-BE49-F238E27FC236}">
                  <a16:creationId xmlns:a16="http://schemas.microsoft.com/office/drawing/2014/main" id="{26424A78-C42F-4E9A-AB81-D8BC79B4E9C0}"/>
                </a:ext>
              </a:extLst>
            </xdr:cNvPr>
            <xdr:cNvGraphicFramePr/>
          </xdr:nvGraphicFramePr>
          <xdr:xfrm>
            <a:off x="0" y="0"/>
            <a:ext cx="0" cy="0"/>
          </xdr:xfrm>
          <a:graphic>
            <a:graphicData uri="http://schemas.microsoft.com/office/drawing/2010/slicer">
              <sle:slicer xmlns:sle="http://schemas.microsoft.com/office/drawing/2010/slicer" name="Duration Category 1"/>
            </a:graphicData>
          </a:graphic>
        </xdr:graphicFrame>
      </mc:Choice>
      <mc:Fallback>
        <xdr:sp macro="" textlink="">
          <xdr:nvSpPr>
            <xdr:cNvPr id="0" name=""/>
            <xdr:cNvSpPr>
              <a:spLocks noTextEdit="1"/>
            </xdr:cNvSpPr>
          </xdr:nvSpPr>
          <xdr:spPr>
            <a:xfrm>
              <a:off x="17144926" y="6409413"/>
              <a:ext cx="3057118" cy="1565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30975</xdr:colOff>
      <xdr:row>7</xdr:row>
      <xdr:rowOff>30977</xdr:rowOff>
    </xdr:from>
    <xdr:to>
      <xdr:col>30</xdr:col>
      <xdr:colOff>61949</xdr:colOff>
      <xdr:row>10</xdr:row>
      <xdr:rowOff>170365</xdr:rowOff>
    </xdr:to>
    <xdr:pic>
      <xdr:nvPicPr>
        <xdr:cNvPr id="10252" name="Picture 10251">
          <a:extLst>
            <a:ext uri="{FF2B5EF4-FFF2-40B4-BE49-F238E27FC236}">
              <a16:creationId xmlns:a16="http://schemas.microsoft.com/office/drawing/2014/main" id="{0EE32B22-E722-FBF3-35F7-7948D23805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44268" y="1331953"/>
          <a:ext cx="696949" cy="696949"/>
        </a:xfrm>
        <a:prstGeom prst="rect">
          <a:avLst/>
        </a:prstGeom>
      </xdr:spPr>
    </xdr:pic>
    <xdr:clientData/>
  </xdr:twoCellAnchor>
  <xdr:twoCellAnchor editAs="oneCell">
    <xdr:from>
      <xdr:col>5</xdr:col>
      <xdr:colOff>35943</xdr:colOff>
      <xdr:row>7</xdr:row>
      <xdr:rowOff>11982</xdr:rowOff>
    </xdr:from>
    <xdr:to>
      <xdr:col>6</xdr:col>
      <xdr:colOff>-1</xdr:colOff>
      <xdr:row>10</xdr:row>
      <xdr:rowOff>95850</xdr:rowOff>
    </xdr:to>
    <xdr:pic>
      <xdr:nvPicPr>
        <xdr:cNvPr id="10256" name="Picture 10255">
          <a:extLst>
            <a:ext uri="{FF2B5EF4-FFF2-40B4-BE49-F238E27FC236}">
              <a16:creationId xmlns:a16="http://schemas.microsoft.com/office/drawing/2014/main" id="{711FE13A-878E-852B-FBEE-28A4B1B3272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30754" y="1270001"/>
          <a:ext cx="623019" cy="623019"/>
        </a:xfrm>
        <a:prstGeom prst="rect">
          <a:avLst/>
        </a:prstGeom>
      </xdr:spPr>
    </xdr:pic>
    <xdr:clientData/>
  </xdr:twoCellAnchor>
  <xdr:twoCellAnchor editAs="oneCell">
    <xdr:from>
      <xdr:col>9</xdr:col>
      <xdr:colOff>299527</xdr:colOff>
      <xdr:row>7</xdr:row>
      <xdr:rowOff>23962</xdr:rowOff>
    </xdr:from>
    <xdr:to>
      <xdr:col>10</xdr:col>
      <xdr:colOff>315849</xdr:colOff>
      <xdr:row>10</xdr:row>
      <xdr:rowOff>71887</xdr:rowOff>
    </xdr:to>
    <xdr:pic>
      <xdr:nvPicPr>
        <xdr:cNvPr id="10262" name="Picture 10261">
          <a:extLst>
            <a:ext uri="{FF2B5EF4-FFF2-40B4-BE49-F238E27FC236}">
              <a16:creationId xmlns:a16="http://schemas.microsoft.com/office/drawing/2014/main" id="{33E3B898-C4CF-A9D9-3122-10D8C5436BF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30187" y="1281981"/>
          <a:ext cx="675285" cy="587076"/>
        </a:xfrm>
        <a:prstGeom prst="rect">
          <a:avLst/>
        </a:prstGeom>
      </xdr:spPr>
    </xdr:pic>
    <xdr:clientData/>
  </xdr:twoCellAnchor>
  <xdr:twoCellAnchor editAs="oneCell">
    <xdr:from>
      <xdr:col>18</xdr:col>
      <xdr:colOff>203679</xdr:colOff>
      <xdr:row>7</xdr:row>
      <xdr:rowOff>137117</xdr:rowOff>
    </xdr:from>
    <xdr:to>
      <xdr:col>18</xdr:col>
      <xdr:colOff>622852</xdr:colOff>
      <xdr:row>10</xdr:row>
      <xdr:rowOff>167736</xdr:rowOff>
    </xdr:to>
    <xdr:pic>
      <xdr:nvPicPr>
        <xdr:cNvPr id="10264" name="Picture 10263">
          <a:extLst>
            <a:ext uri="{FF2B5EF4-FFF2-40B4-BE49-F238E27FC236}">
              <a16:creationId xmlns:a16="http://schemas.microsoft.com/office/drawing/2014/main" id="{E3D5C828-872F-609C-6375-B3DBE7D033E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065000" y="1395136"/>
          <a:ext cx="419173" cy="569770"/>
        </a:xfrm>
        <a:prstGeom prst="rect">
          <a:avLst/>
        </a:prstGeom>
      </xdr:spPr>
    </xdr:pic>
    <xdr:clientData/>
  </xdr:twoCellAnchor>
  <xdr:twoCellAnchor editAs="oneCell">
    <xdr:from>
      <xdr:col>13</xdr:col>
      <xdr:colOff>582083</xdr:colOff>
      <xdr:row>7</xdr:row>
      <xdr:rowOff>132291</xdr:rowOff>
    </xdr:from>
    <xdr:to>
      <xdr:col>14</xdr:col>
      <xdr:colOff>530228</xdr:colOff>
      <xdr:row>11</xdr:row>
      <xdr:rowOff>1061</xdr:rowOff>
    </xdr:to>
    <xdr:pic>
      <xdr:nvPicPr>
        <xdr:cNvPr id="10266" name="Picture 10265">
          <a:extLst>
            <a:ext uri="{FF2B5EF4-FFF2-40B4-BE49-F238E27FC236}">
              <a16:creationId xmlns:a16="http://schemas.microsoft.com/office/drawing/2014/main" id="{D9A4FBED-08DF-75C5-7FAB-28A0DDB8C5C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181041" y="1428749"/>
          <a:ext cx="609604" cy="609604"/>
        </a:xfrm>
        <a:prstGeom prst="rect">
          <a:avLst/>
        </a:prstGeom>
      </xdr:spPr>
    </xdr:pic>
    <xdr:clientData/>
  </xdr:twoCellAnchor>
  <xdr:twoCellAnchor editAs="oneCell">
    <xdr:from>
      <xdr:col>22</xdr:col>
      <xdr:colOff>230984</xdr:colOff>
      <xdr:row>4</xdr:row>
      <xdr:rowOff>22681</xdr:rowOff>
    </xdr:from>
    <xdr:to>
      <xdr:col>23</xdr:col>
      <xdr:colOff>332618</xdr:colOff>
      <xdr:row>7</xdr:row>
      <xdr:rowOff>62366</xdr:rowOff>
    </xdr:to>
    <xdr:pic>
      <xdr:nvPicPr>
        <xdr:cNvPr id="10272" name="Picture 10271">
          <a:extLst>
            <a:ext uri="{FF2B5EF4-FFF2-40B4-BE49-F238E27FC236}">
              <a16:creationId xmlns:a16="http://schemas.microsoft.com/office/drawing/2014/main" id="{93468D4F-E7E2-CC38-E14D-A58340E9955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4699913" y="748395"/>
          <a:ext cx="759312" cy="5839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387350</xdr:colOff>
      <xdr:row>0</xdr:row>
      <xdr:rowOff>0</xdr:rowOff>
    </xdr:from>
    <xdr:to>
      <xdr:col>7</xdr:col>
      <xdr:colOff>137086</xdr:colOff>
      <xdr:row>15</xdr:row>
      <xdr:rowOff>8239</xdr:rowOff>
    </xdr:to>
    <xdr:graphicFrame macro="">
      <xdr:nvGraphicFramePr>
        <xdr:cNvPr id="8" name="Chart 7">
          <a:extLst>
            <a:ext uri="{FF2B5EF4-FFF2-40B4-BE49-F238E27FC236}">
              <a16:creationId xmlns:a16="http://schemas.microsoft.com/office/drawing/2014/main" id="{043F7E8A-67D8-4CA5-8A9D-5C1136118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247650</xdr:colOff>
      <xdr:row>0</xdr:row>
      <xdr:rowOff>38100</xdr:rowOff>
    </xdr:from>
    <xdr:to>
      <xdr:col>9</xdr:col>
      <xdr:colOff>412253</xdr:colOff>
      <xdr:row>15</xdr:row>
      <xdr:rowOff>132355</xdr:rowOff>
    </xdr:to>
    <xdr:graphicFrame macro="">
      <xdr:nvGraphicFramePr>
        <xdr:cNvPr id="4" name="Chart 3">
          <a:extLst>
            <a:ext uri="{FF2B5EF4-FFF2-40B4-BE49-F238E27FC236}">
              <a16:creationId xmlns:a16="http://schemas.microsoft.com/office/drawing/2014/main" id="{E2090070-C826-4543-8B19-EB256471F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107950</xdr:colOff>
      <xdr:row>1</xdr:row>
      <xdr:rowOff>146050</xdr:rowOff>
    </xdr:from>
    <xdr:to>
      <xdr:col>9</xdr:col>
      <xdr:colOff>162894</xdr:colOff>
      <xdr:row>18</xdr:row>
      <xdr:rowOff>134097</xdr:rowOff>
    </xdr:to>
    <xdr:graphicFrame macro="">
      <xdr:nvGraphicFramePr>
        <xdr:cNvPr id="3" name="Chart 2">
          <a:extLst>
            <a:ext uri="{FF2B5EF4-FFF2-40B4-BE49-F238E27FC236}">
              <a16:creationId xmlns:a16="http://schemas.microsoft.com/office/drawing/2014/main" id="{E035AAF5-0C84-4E15-93CA-E7248A89B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368300</xdr:colOff>
      <xdr:row>1</xdr:row>
      <xdr:rowOff>146050</xdr:rowOff>
    </xdr:from>
    <xdr:to>
      <xdr:col>9</xdr:col>
      <xdr:colOff>422835</xdr:colOff>
      <xdr:row>17</xdr:row>
      <xdr:rowOff>2275</xdr:rowOff>
    </xdr:to>
    <xdr:graphicFrame macro="">
      <xdr:nvGraphicFramePr>
        <xdr:cNvPr id="3" name="Chart 2">
          <a:extLst>
            <a:ext uri="{FF2B5EF4-FFF2-40B4-BE49-F238E27FC236}">
              <a16:creationId xmlns:a16="http://schemas.microsoft.com/office/drawing/2014/main" id="{0AB83A76-5EC7-4BA6-84CE-9F428AA6A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247650</xdr:colOff>
      <xdr:row>0</xdr:row>
      <xdr:rowOff>0</xdr:rowOff>
    </xdr:from>
    <xdr:to>
      <xdr:col>9</xdr:col>
      <xdr:colOff>240321</xdr:colOff>
      <xdr:row>17</xdr:row>
      <xdr:rowOff>8251</xdr:rowOff>
    </xdr:to>
    <xdr:graphicFrame macro="">
      <xdr:nvGraphicFramePr>
        <xdr:cNvPr id="3" name="Chart 2">
          <a:extLst>
            <a:ext uri="{FF2B5EF4-FFF2-40B4-BE49-F238E27FC236}">
              <a16:creationId xmlns:a16="http://schemas.microsoft.com/office/drawing/2014/main" id="{C0DB0F73-F005-4941-806D-3E8146A52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247650</xdr:colOff>
      <xdr:row>0</xdr:row>
      <xdr:rowOff>31750</xdr:rowOff>
    </xdr:from>
    <xdr:to>
      <xdr:col>9</xdr:col>
      <xdr:colOff>232333</xdr:colOff>
      <xdr:row>17</xdr:row>
      <xdr:rowOff>40002</xdr:rowOff>
    </xdr:to>
    <xdr:graphicFrame macro="">
      <xdr:nvGraphicFramePr>
        <xdr:cNvPr id="3" name="Chart 2">
          <a:extLst>
            <a:ext uri="{FF2B5EF4-FFF2-40B4-BE49-F238E27FC236}">
              <a16:creationId xmlns:a16="http://schemas.microsoft.com/office/drawing/2014/main" id="{32DD8B0A-8047-41FA-88AE-FF63D98ED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GA" refreshedDate="46107.260079513886" createdVersion="8" refreshedVersion="8" minRefreshableVersion="3" recordCount="1000" xr:uid="{8E0A0433-4453-4CDE-AD80-5099F3FE6142}">
  <cacheSource type="worksheet">
    <worksheetSource name="CallData"/>
  </cacheSource>
  <cacheFields count="15">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Duration2" numFmtId="2">
      <sharedItems containsSemiMixedTypes="0" containsString="0" containsNumber="1" minValue="3.3333333333333333E-2" maxValue="2.9333333333333331"/>
    </cacheField>
    <cacheField name="Duration Category" numFmtId="2">
      <sharedItems count="4">
        <s v="Long"/>
        <s v="Medium"/>
        <s v="Short"/>
        <s v="Very short"/>
      </sharedItems>
    </cacheField>
    <cacheField name="Representative" numFmtId="2">
      <sharedItems count="5">
        <s v="R05"/>
        <s v="R02"/>
        <s v="R01"/>
        <s v="R04"/>
        <s v="R03"/>
      </sharedItems>
    </cacheField>
    <cacheField name="Date of Call" numFmtId="14">
      <sharedItems containsSemiMixedTypes="0" containsNonDate="0" containsDate="1" containsString="0" minDate="2023-01-01T00:00:00" maxDate="2024-01-01T00:00:00"/>
    </cacheField>
    <cacheField name="Purchase Amount" numFmtId="164">
      <sharedItems containsSemiMixedTypes="0" containsString="0" containsNumber="1" containsInteger="1" minValue="20" maxValue="225"/>
    </cacheField>
    <cacheField name="Purchase Category" numFmtId="164">
      <sharedItems/>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fieldGroup par="14"/>
    </cacheField>
    <cacheField name="Rating rounded" numFmtId="0">
      <sharedItems containsSemiMixedTypes="0" containsString="0" containsNumber="1" containsInteger="1" minValue="0" maxValue="5"/>
    </cacheField>
    <cacheField name="Duration Bucket2" numFmtId="0" databaseField="0">
      <fieldGroup base="12">
        <discretePr count="5">
          <x v="2"/>
          <x v="2"/>
          <x v="0"/>
          <x v="1"/>
          <x v="1"/>
        </discretePr>
        <groupItems count="3">
          <s v="30 to 60 mins"/>
          <s v="Group1"/>
          <s v="Group2"/>
        </groupItems>
      </fieldGroup>
    </cacheField>
  </cacheFields>
  <extLst>
    <ext xmlns:x14="http://schemas.microsoft.com/office/spreadsheetml/2009/9/main" uri="{725AE2AE-9491-48be-B2B4-4EB974FC3084}">
      <x14:pivotCacheDefinition pivotCacheId="511783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n v="1.9333333333333333"/>
    <x v="0"/>
    <x v="0"/>
    <d v="2023-01-01T00:00:00"/>
    <n v="128"/>
    <s v="High"/>
    <n v="4.9000000000000004"/>
    <x v="0"/>
    <x v="0"/>
    <x v="0"/>
    <n v="5"/>
  </r>
  <r>
    <s v="Call_7272"/>
    <s v="C0004"/>
    <n v="119"/>
    <n v="1.9833333333333334"/>
    <x v="0"/>
    <x v="0"/>
    <d v="2023-01-01T00:00:00"/>
    <n v="135"/>
    <s v="High"/>
    <n v="2.9"/>
    <x v="0"/>
    <x v="0"/>
    <x v="0"/>
    <n v="3"/>
  </r>
  <r>
    <s v="Call_7273"/>
    <s v="C0005"/>
    <n v="68"/>
    <n v="1.1333333333333333"/>
    <x v="0"/>
    <x v="1"/>
    <d v="2023-01-01T00:00:00"/>
    <n v="66"/>
    <s v="Medium"/>
    <n v="4.7"/>
    <x v="0"/>
    <x v="0"/>
    <x v="0"/>
    <n v="5"/>
  </r>
  <r>
    <s v="Call_7274"/>
    <s v="C0014"/>
    <n v="119"/>
    <n v="1.9833333333333334"/>
    <x v="0"/>
    <x v="1"/>
    <d v="2023-01-01T00:00:00"/>
    <n v="22"/>
    <s v="Low"/>
    <n v="2.9"/>
    <x v="0"/>
    <x v="0"/>
    <x v="0"/>
    <n v="3"/>
  </r>
  <r>
    <s v="Call_7275"/>
    <s v="C0011"/>
    <n v="128"/>
    <n v="2.1333333333333333"/>
    <x v="0"/>
    <x v="2"/>
    <d v="2023-01-02T00:00:00"/>
    <n v="31"/>
    <s v="Low"/>
    <n v="2.8"/>
    <x v="0"/>
    <x v="1"/>
    <x v="1"/>
    <n v="3"/>
  </r>
  <r>
    <s v="Call_7276"/>
    <s v="C0011"/>
    <n v="49"/>
    <n v="0.81666666666666665"/>
    <x v="1"/>
    <x v="1"/>
    <d v="2023-01-03T00:00:00"/>
    <n v="135"/>
    <s v="High"/>
    <n v="4.8"/>
    <x v="0"/>
    <x v="2"/>
    <x v="2"/>
    <n v="5"/>
  </r>
  <r>
    <s v="Call_7277"/>
    <s v="C0007"/>
    <n v="84"/>
    <n v="1.4"/>
    <x v="0"/>
    <x v="0"/>
    <d v="2023-01-03T00:00:00"/>
    <n v="60"/>
    <s v="Medium"/>
    <n v="4.7"/>
    <x v="0"/>
    <x v="2"/>
    <x v="0"/>
    <n v="5"/>
  </r>
  <r>
    <s v="Call_7278"/>
    <s v="C0003"/>
    <n v="103"/>
    <n v="1.7166666666666666"/>
    <x v="0"/>
    <x v="3"/>
    <d v="2023-01-03T00:00:00"/>
    <n v="148"/>
    <s v="High"/>
    <n v="4.4000000000000004"/>
    <x v="0"/>
    <x v="2"/>
    <x v="0"/>
    <n v="4"/>
  </r>
  <r>
    <s v="Call_7279"/>
    <s v="C0005"/>
    <n v="31"/>
    <n v="0.51666666666666672"/>
    <x v="1"/>
    <x v="1"/>
    <d v="2023-01-03T00:00:00"/>
    <n v="135"/>
    <s v="High"/>
    <n v="3.6"/>
    <x v="0"/>
    <x v="2"/>
    <x v="2"/>
    <n v="4"/>
  </r>
  <r>
    <s v="Call_7280"/>
    <s v="C0010"/>
    <n v="44"/>
    <n v="0.73333333333333328"/>
    <x v="1"/>
    <x v="4"/>
    <d v="2023-01-03T00:00:00"/>
    <n v="105"/>
    <s v="High"/>
    <n v="2.9"/>
    <x v="0"/>
    <x v="2"/>
    <x v="2"/>
    <n v="3"/>
  </r>
  <r>
    <s v="Call_7281"/>
    <s v="C0011"/>
    <n v="102"/>
    <n v="1.7"/>
    <x v="0"/>
    <x v="1"/>
    <d v="2023-01-03T00:00:00"/>
    <n v="69"/>
    <s v="Medium"/>
    <n v="4.9000000000000004"/>
    <x v="0"/>
    <x v="2"/>
    <x v="0"/>
    <n v="5"/>
  </r>
  <r>
    <s v="Call_7282"/>
    <s v="C0013"/>
    <n v="135"/>
    <n v="2.25"/>
    <x v="0"/>
    <x v="0"/>
    <d v="2023-01-03T00:00:00"/>
    <n v="46"/>
    <s v="Low"/>
    <n v="3.4"/>
    <x v="0"/>
    <x v="2"/>
    <x v="1"/>
    <n v="3"/>
  </r>
  <r>
    <s v="Call_7283"/>
    <s v="C0002"/>
    <n v="98"/>
    <n v="1.6333333333333333"/>
    <x v="0"/>
    <x v="1"/>
    <d v="2023-01-04T00:00:00"/>
    <n v="108"/>
    <s v="High"/>
    <n v="3.5"/>
    <x v="0"/>
    <x v="3"/>
    <x v="0"/>
    <n v="4"/>
  </r>
  <r>
    <s v="Call_7284"/>
    <s v="C0010"/>
    <n v="139"/>
    <n v="2.3166666666666669"/>
    <x v="0"/>
    <x v="1"/>
    <d v="2023-01-04T00:00:00"/>
    <n v="96"/>
    <s v="Medium"/>
    <n v="4"/>
    <x v="0"/>
    <x v="3"/>
    <x v="1"/>
    <n v="4"/>
  </r>
  <r>
    <s v="Call_7285"/>
    <s v="C0013"/>
    <n v="48"/>
    <n v="0.8"/>
    <x v="1"/>
    <x v="2"/>
    <d v="2023-01-04T00:00:00"/>
    <n v="68"/>
    <s v="Medium"/>
    <n v="4.9000000000000004"/>
    <x v="0"/>
    <x v="3"/>
    <x v="2"/>
    <n v="5"/>
  </r>
  <r>
    <s v="Call_7286"/>
    <s v="C0010"/>
    <n v="176"/>
    <n v="2.9333333333333331"/>
    <x v="0"/>
    <x v="0"/>
    <d v="2023-01-05T00:00:00"/>
    <n v="24"/>
    <s v="Low"/>
    <n v="4.8"/>
    <x v="0"/>
    <x v="4"/>
    <x v="1"/>
    <n v="5"/>
  </r>
  <r>
    <s v="Call_7287"/>
    <s v="C0010"/>
    <n v="99"/>
    <n v="1.65"/>
    <x v="0"/>
    <x v="2"/>
    <d v="2023-01-05T00:00:00"/>
    <n v="195"/>
    <s v="Very High"/>
    <n v="3.9"/>
    <x v="0"/>
    <x v="4"/>
    <x v="0"/>
    <n v="4"/>
  </r>
  <r>
    <s v="Call_7288"/>
    <s v="C0009"/>
    <n v="28"/>
    <n v="0.46666666666666667"/>
    <x v="2"/>
    <x v="4"/>
    <d v="2023-01-05T00:00:00"/>
    <n v="28"/>
    <s v="Low"/>
    <n v="3.8"/>
    <x v="0"/>
    <x v="4"/>
    <x v="3"/>
    <n v="4"/>
  </r>
  <r>
    <s v="Call_7289"/>
    <s v="C0007"/>
    <n v="54"/>
    <n v="0.9"/>
    <x v="1"/>
    <x v="1"/>
    <d v="2023-01-05T00:00:00"/>
    <n v="170"/>
    <s v="Very High"/>
    <n v="4.3"/>
    <x v="0"/>
    <x v="4"/>
    <x v="2"/>
    <n v="4"/>
  </r>
  <r>
    <s v="Call_7290"/>
    <s v="C0006"/>
    <n v="48"/>
    <n v="0.8"/>
    <x v="1"/>
    <x v="0"/>
    <d v="2023-01-06T00:00:00"/>
    <n v="30"/>
    <s v="Low"/>
    <n v="4.4000000000000004"/>
    <x v="0"/>
    <x v="5"/>
    <x v="2"/>
    <n v="4"/>
  </r>
  <r>
    <s v="Call_7291"/>
    <s v="C0004"/>
    <n v="128"/>
    <n v="2.1333333333333333"/>
    <x v="0"/>
    <x v="0"/>
    <d v="2023-01-06T00:00:00"/>
    <n v="72"/>
    <s v="Medium"/>
    <n v="5"/>
    <x v="0"/>
    <x v="5"/>
    <x v="1"/>
    <n v="5"/>
  </r>
  <r>
    <s v="Call_7292"/>
    <s v="C0004"/>
    <n v="38"/>
    <n v="0.6333333333333333"/>
    <x v="1"/>
    <x v="3"/>
    <d v="2023-01-07T00:00:00"/>
    <n v="92"/>
    <s v="Medium"/>
    <n v="4.9000000000000004"/>
    <x v="0"/>
    <x v="6"/>
    <x v="2"/>
    <n v="5"/>
  </r>
  <r>
    <s v="Call_7293"/>
    <s v="C0003"/>
    <n v="67"/>
    <n v="1.1166666666666667"/>
    <x v="0"/>
    <x v="3"/>
    <d v="2023-01-08T00:00:00"/>
    <n v="165"/>
    <s v="Very High"/>
    <n v="4.5"/>
    <x v="0"/>
    <x v="0"/>
    <x v="0"/>
    <n v="5"/>
  </r>
  <r>
    <s v="Call_7294"/>
    <s v="C0015"/>
    <n v="58"/>
    <n v="0.96666666666666667"/>
    <x v="1"/>
    <x v="1"/>
    <d v="2023-01-08T00:00:00"/>
    <n v="140"/>
    <s v="High"/>
    <n v="2.1"/>
    <x v="0"/>
    <x v="0"/>
    <x v="2"/>
    <n v="2"/>
  </r>
  <r>
    <s v="Call_7295"/>
    <s v="C0010"/>
    <n v="54"/>
    <n v="0.9"/>
    <x v="1"/>
    <x v="2"/>
    <d v="2023-01-08T00:00:00"/>
    <n v="111"/>
    <s v="High"/>
    <n v="3.3"/>
    <x v="0"/>
    <x v="0"/>
    <x v="2"/>
    <n v="3"/>
  </r>
  <r>
    <s v="Call_7296"/>
    <s v="C0012"/>
    <n v="28"/>
    <n v="0.46666666666666667"/>
    <x v="2"/>
    <x v="0"/>
    <d v="2023-01-09T00:00:00"/>
    <n v="63"/>
    <s v="Medium"/>
    <n v="4.0999999999999996"/>
    <x v="0"/>
    <x v="1"/>
    <x v="3"/>
    <n v="4"/>
  </r>
  <r>
    <s v="Call_7297"/>
    <s v="C0002"/>
    <n v="73"/>
    <n v="1.2166666666666666"/>
    <x v="0"/>
    <x v="0"/>
    <d v="2023-01-09T00:00:00"/>
    <n v="80"/>
    <s v="Medium"/>
    <n v="4.2"/>
    <x v="0"/>
    <x v="1"/>
    <x v="0"/>
    <n v="4"/>
  </r>
  <r>
    <s v="Call_7298"/>
    <s v="C0011"/>
    <n v="81"/>
    <n v="1.35"/>
    <x v="0"/>
    <x v="0"/>
    <d v="2023-01-10T00:00:00"/>
    <n v="50"/>
    <s v="Low"/>
    <n v="4.5999999999999996"/>
    <x v="0"/>
    <x v="2"/>
    <x v="0"/>
    <n v="5"/>
  </r>
  <r>
    <s v="Call_7299"/>
    <s v="C0009"/>
    <n v="31"/>
    <n v="0.51666666666666672"/>
    <x v="1"/>
    <x v="3"/>
    <d v="2023-01-10T00:00:00"/>
    <n v="123"/>
    <s v="High"/>
    <n v="2.9"/>
    <x v="0"/>
    <x v="2"/>
    <x v="2"/>
    <n v="3"/>
  </r>
  <r>
    <s v="Call_7300"/>
    <s v="C0015"/>
    <n v="155"/>
    <n v="2.5833333333333335"/>
    <x v="0"/>
    <x v="2"/>
    <d v="2023-01-10T00:00:00"/>
    <n v="110"/>
    <s v="High"/>
    <n v="4.8"/>
    <x v="0"/>
    <x v="2"/>
    <x v="1"/>
    <n v="5"/>
  </r>
  <r>
    <s v="Call_7301"/>
    <s v="C0009"/>
    <n v="80"/>
    <n v="1.3333333333333333"/>
    <x v="0"/>
    <x v="0"/>
    <d v="2023-01-10T00:00:00"/>
    <n v="140"/>
    <s v="High"/>
    <n v="4.2"/>
    <x v="0"/>
    <x v="2"/>
    <x v="0"/>
    <n v="4"/>
  </r>
  <r>
    <s v="Call_7302"/>
    <s v="C0011"/>
    <n v="82"/>
    <n v="1.3666666666666667"/>
    <x v="0"/>
    <x v="0"/>
    <d v="2023-01-12T00:00:00"/>
    <n v="42"/>
    <s v="Low"/>
    <n v="3.7"/>
    <x v="0"/>
    <x v="4"/>
    <x v="0"/>
    <n v="4"/>
  </r>
  <r>
    <s v="Call_7303"/>
    <s v="C0011"/>
    <n v="29"/>
    <n v="0.48333333333333334"/>
    <x v="2"/>
    <x v="2"/>
    <d v="2023-01-12T00:00:00"/>
    <n v="170"/>
    <s v="Very High"/>
    <n v="5"/>
    <x v="0"/>
    <x v="4"/>
    <x v="3"/>
    <n v="5"/>
  </r>
  <r>
    <s v="Call_7304"/>
    <s v="C0006"/>
    <n v="160"/>
    <n v="2.6666666666666665"/>
    <x v="0"/>
    <x v="1"/>
    <d v="2023-01-14T00:00:00"/>
    <n v="105"/>
    <s v="High"/>
    <n v="5"/>
    <x v="0"/>
    <x v="6"/>
    <x v="1"/>
    <n v="5"/>
  </r>
  <r>
    <s v="Call_7305"/>
    <s v="C0001"/>
    <n v="105"/>
    <n v="1.75"/>
    <x v="0"/>
    <x v="0"/>
    <d v="2023-01-15T00:00:00"/>
    <n v="125"/>
    <s v="High"/>
    <n v="4.8"/>
    <x v="0"/>
    <x v="0"/>
    <x v="0"/>
    <n v="5"/>
  </r>
  <r>
    <s v="Call_7306"/>
    <s v="C0009"/>
    <n v="75"/>
    <n v="1.25"/>
    <x v="0"/>
    <x v="4"/>
    <d v="2023-01-15T00:00:00"/>
    <n v="26"/>
    <s v="Low"/>
    <n v="2.4"/>
    <x v="0"/>
    <x v="0"/>
    <x v="0"/>
    <n v="2"/>
  </r>
  <r>
    <s v="Call_7307"/>
    <s v="C0015"/>
    <n v="94"/>
    <n v="1.5666666666666667"/>
    <x v="0"/>
    <x v="4"/>
    <d v="2023-01-16T00:00:00"/>
    <n v="120"/>
    <s v="High"/>
    <n v="3.1"/>
    <x v="0"/>
    <x v="1"/>
    <x v="0"/>
    <n v="3"/>
  </r>
  <r>
    <s v="Call_7308"/>
    <s v="C0004"/>
    <n v="90"/>
    <n v="1.5"/>
    <x v="0"/>
    <x v="1"/>
    <d v="2023-01-16T00:00:00"/>
    <n v="132"/>
    <s v="High"/>
    <n v="3.2"/>
    <x v="0"/>
    <x v="1"/>
    <x v="0"/>
    <n v="3"/>
  </r>
  <r>
    <s v="Call_7309"/>
    <s v="C0015"/>
    <n v="81"/>
    <n v="1.35"/>
    <x v="0"/>
    <x v="3"/>
    <d v="2023-01-17T00:00:00"/>
    <n v="86"/>
    <s v="Medium"/>
    <n v="2.4"/>
    <x v="0"/>
    <x v="2"/>
    <x v="0"/>
    <n v="2"/>
  </r>
  <r>
    <s v="Call_7310"/>
    <s v="C0009"/>
    <n v="106"/>
    <n v="1.7666666666666666"/>
    <x v="0"/>
    <x v="0"/>
    <d v="2023-01-17T00:00:00"/>
    <n v="108"/>
    <s v="High"/>
    <n v="5"/>
    <x v="0"/>
    <x v="2"/>
    <x v="0"/>
    <n v="5"/>
  </r>
  <r>
    <s v="Call_7311"/>
    <s v="C0004"/>
    <n v="74"/>
    <n v="1.2333333333333334"/>
    <x v="0"/>
    <x v="3"/>
    <d v="2023-01-17T00:00:00"/>
    <n v="96"/>
    <s v="Medium"/>
    <n v="4.7"/>
    <x v="0"/>
    <x v="2"/>
    <x v="0"/>
    <n v="5"/>
  </r>
  <r>
    <s v="Call_7312"/>
    <s v="C0010"/>
    <n v="105"/>
    <n v="1.75"/>
    <x v="0"/>
    <x v="1"/>
    <d v="2023-01-18T00:00:00"/>
    <n v="80"/>
    <s v="Medium"/>
    <n v="4.7"/>
    <x v="0"/>
    <x v="3"/>
    <x v="0"/>
    <n v="5"/>
  </r>
  <r>
    <s v="Call_7313"/>
    <s v="C0009"/>
    <n v="89"/>
    <n v="1.4833333333333334"/>
    <x v="0"/>
    <x v="0"/>
    <d v="2023-01-18T00:00:00"/>
    <n v="155"/>
    <s v="Very High"/>
    <n v="4.0999999999999996"/>
    <x v="0"/>
    <x v="3"/>
    <x v="0"/>
    <n v="4"/>
  </r>
  <r>
    <s v="Call_7314"/>
    <s v="C0013"/>
    <n v="132"/>
    <n v="2.2000000000000002"/>
    <x v="0"/>
    <x v="4"/>
    <d v="2023-01-18T00:00:00"/>
    <n v="168"/>
    <s v="Very High"/>
    <n v="4.0999999999999996"/>
    <x v="0"/>
    <x v="3"/>
    <x v="1"/>
    <n v="4"/>
  </r>
  <r>
    <s v="Call_7315"/>
    <s v="C0001"/>
    <n v="105"/>
    <n v="1.75"/>
    <x v="0"/>
    <x v="2"/>
    <d v="2023-01-18T00:00:00"/>
    <n v="56"/>
    <s v="Medium"/>
    <n v="3.6"/>
    <x v="0"/>
    <x v="3"/>
    <x v="0"/>
    <n v="4"/>
  </r>
  <r>
    <s v="Call_7316"/>
    <s v="C0011"/>
    <n v="13"/>
    <n v="0.21666666666666667"/>
    <x v="3"/>
    <x v="4"/>
    <d v="2023-01-19T00:00:00"/>
    <n v="32"/>
    <s v="Low"/>
    <n v="4.4000000000000004"/>
    <x v="0"/>
    <x v="4"/>
    <x v="3"/>
    <n v="4"/>
  </r>
  <r>
    <s v="Call_7317"/>
    <s v="C0014"/>
    <n v="131"/>
    <n v="2.1833333333333331"/>
    <x v="0"/>
    <x v="2"/>
    <d v="2023-01-19T00:00:00"/>
    <n v="78"/>
    <s v="Medium"/>
    <n v="4.4000000000000004"/>
    <x v="0"/>
    <x v="4"/>
    <x v="1"/>
    <n v="4"/>
  </r>
  <r>
    <s v="Call_7318"/>
    <s v="C0004"/>
    <n v="104"/>
    <n v="1.7333333333333334"/>
    <x v="0"/>
    <x v="0"/>
    <d v="2023-01-19T00:00:00"/>
    <n v="86"/>
    <s v="Medium"/>
    <n v="4"/>
    <x v="0"/>
    <x v="4"/>
    <x v="0"/>
    <n v="4"/>
  </r>
  <r>
    <s v="Call_7319"/>
    <s v="C0003"/>
    <n v="90"/>
    <n v="1.5"/>
    <x v="0"/>
    <x v="1"/>
    <d v="2023-01-20T00:00:00"/>
    <n v="64"/>
    <s v="Medium"/>
    <n v="3.8"/>
    <x v="0"/>
    <x v="5"/>
    <x v="0"/>
    <n v="4"/>
  </r>
  <r>
    <s v="Call_7320"/>
    <s v="C0012"/>
    <n v="37"/>
    <n v="0.6166666666666667"/>
    <x v="1"/>
    <x v="1"/>
    <d v="2023-01-20T00:00:00"/>
    <n v="96"/>
    <s v="Medium"/>
    <n v="3.6"/>
    <x v="0"/>
    <x v="5"/>
    <x v="2"/>
    <n v="4"/>
  </r>
  <r>
    <s v="Call_7321"/>
    <s v="C0002"/>
    <n v="149"/>
    <n v="2.4833333333333334"/>
    <x v="0"/>
    <x v="2"/>
    <d v="2023-01-20T00:00:00"/>
    <n v="72"/>
    <s v="Medium"/>
    <n v="4.3"/>
    <x v="0"/>
    <x v="5"/>
    <x v="1"/>
    <n v="4"/>
  </r>
  <r>
    <s v="Call_7322"/>
    <s v="C0013"/>
    <n v="100"/>
    <n v="1.6666666666666667"/>
    <x v="0"/>
    <x v="3"/>
    <d v="2023-01-21T00:00:00"/>
    <n v="135"/>
    <s v="High"/>
    <n v="3.8"/>
    <x v="0"/>
    <x v="6"/>
    <x v="0"/>
    <n v="4"/>
  </r>
  <r>
    <s v="Call_7323"/>
    <s v="C0013"/>
    <n v="79"/>
    <n v="1.3166666666666667"/>
    <x v="0"/>
    <x v="4"/>
    <d v="2023-01-21T00:00:00"/>
    <n v="140"/>
    <s v="High"/>
    <n v="4.5"/>
    <x v="0"/>
    <x v="6"/>
    <x v="0"/>
    <n v="5"/>
  </r>
  <r>
    <s v="Call_7324"/>
    <s v="C0008"/>
    <n v="157"/>
    <n v="2.6166666666666667"/>
    <x v="0"/>
    <x v="2"/>
    <d v="2023-01-21T00:00:00"/>
    <n v="69"/>
    <s v="Medium"/>
    <n v="4.5"/>
    <x v="0"/>
    <x v="6"/>
    <x v="1"/>
    <n v="5"/>
  </r>
  <r>
    <s v="Call_7325"/>
    <s v="C0013"/>
    <n v="59"/>
    <n v="0.98333333333333328"/>
    <x v="1"/>
    <x v="0"/>
    <d v="2023-01-22T00:00:00"/>
    <n v="136"/>
    <s v="High"/>
    <n v="4.5999999999999996"/>
    <x v="0"/>
    <x v="0"/>
    <x v="2"/>
    <n v="5"/>
  </r>
  <r>
    <s v="Call_7326"/>
    <s v="C0012"/>
    <n v="83"/>
    <n v="1.3833333333333333"/>
    <x v="0"/>
    <x v="2"/>
    <d v="2023-01-22T00:00:00"/>
    <n v="28"/>
    <s v="Low"/>
    <n v="4.5"/>
    <x v="0"/>
    <x v="0"/>
    <x v="0"/>
    <n v="5"/>
  </r>
  <r>
    <s v="Call_7327"/>
    <s v="C0008"/>
    <n v="58"/>
    <n v="0.96666666666666667"/>
    <x v="1"/>
    <x v="1"/>
    <d v="2023-01-23T00:00:00"/>
    <n v="135"/>
    <s v="High"/>
    <n v="3.3"/>
    <x v="0"/>
    <x v="1"/>
    <x v="2"/>
    <n v="3"/>
  </r>
  <r>
    <s v="Call_7328"/>
    <s v="C0015"/>
    <n v="118"/>
    <n v="1.9666666666666666"/>
    <x v="0"/>
    <x v="1"/>
    <d v="2023-01-23T00:00:00"/>
    <n v="126"/>
    <s v="High"/>
    <n v="2.2999999999999998"/>
    <x v="0"/>
    <x v="1"/>
    <x v="0"/>
    <n v="2"/>
  </r>
  <r>
    <s v="Call_7329"/>
    <s v="C0011"/>
    <n v="63"/>
    <n v="1.05"/>
    <x v="0"/>
    <x v="0"/>
    <d v="2023-01-23T00:00:00"/>
    <n v="160"/>
    <s v="Very High"/>
    <n v="4.3"/>
    <x v="0"/>
    <x v="1"/>
    <x v="0"/>
    <n v="4"/>
  </r>
  <r>
    <s v="Call_7330"/>
    <s v="C0008"/>
    <n v="95"/>
    <n v="1.5833333333333333"/>
    <x v="0"/>
    <x v="1"/>
    <d v="2023-01-24T00:00:00"/>
    <n v="48"/>
    <s v="Low"/>
    <n v="4.5999999999999996"/>
    <x v="0"/>
    <x v="2"/>
    <x v="0"/>
    <n v="5"/>
  </r>
  <r>
    <s v="Call_7331"/>
    <s v="C0013"/>
    <n v="74"/>
    <n v="1.2333333333333334"/>
    <x v="0"/>
    <x v="2"/>
    <d v="2023-01-24T00:00:00"/>
    <n v="66"/>
    <s v="Medium"/>
    <n v="4"/>
    <x v="0"/>
    <x v="2"/>
    <x v="0"/>
    <n v="4"/>
  </r>
  <r>
    <s v="Call_7332"/>
    <s v="C0010"/>
    <n v="130"/>
    <n v="2.1666666666666665"/>
    <x v="0"/>
    <x v="3"/>
    <d v="2023-01-24T00:00:00"/>
    <n v="126"/>
    <s v="High"/>
    <n v="2.5"/>
    <x v="0"/>
    <x v="2"/>
    <x v="1"/>
    <n v="3"/>
  </r>
  <r>
    <s v="Call_7333"/>
    <s v="C0015"/>
    <n v="110"/>
    <n v="1.8333333333333333"/>
    <x v="0"/>
    <x v="4"/>
    <d v="2023-01-24T00:00:00"/>
    <n v="96"/>
    <s v="Medium"/>
    <n v="5"/>
    <x v="0"/>
    <x v="2"/>
    <x v="0"/>
    <n v="5"/>
  </r>
  <r>
    <s v="Call_7334"/>
    <s v="C0013"/>
    <n v="71"/>
    <n v="1.1833333333333333"/>
    <x v="0"/>
    <x v="0"/>
    <d v="2023-01-25T00:00:00"/>
    <n v="90"/>
    <s v="Medium"/>
    <n v="3.8"/>
    <x v="0"/>
    <x v="3"/>
    <x v="0"/>
    <n v="4"/>
  </r>
  <r>
    <s v="Call_7335"/>
    <s v="C0001"/>
    <n v="147"/>
    <n v="2.4500000000000002"/>
    <x v="0"/>
    <x v="3"/>
    <d v="2023-01-25T00:00:00"/>
    <n v="105"/>
    <s v="High"/>
    <n v="4.4000000000000004"/>
    <x v="0"/>
    <x v="3"/>
    <x v="1"/>
    <n v="4"/>
  </r>
  <r>
    <s v="Call_7336"/>
    <s v="C0004"/>
    <n v="69"/>
    <n v="1.1499999999999999"/>
    <x v="0"/>
    <x v="1"/>
    <d v="2023-01-26T00:00:00"/>
    <n v="40"/>
    <s v="Low"/>
    <n v="3.8"/>
    <x v="0"/>
    <x v="4"/>
    <x v="0"/>
    <n v="4"/>
  </r>
  <r>
    <s v="Call_7337"/>
    <s v="C0015"/>
    <n v="50"/>
    <n v="0.83333333333333337"/>
    <x v="1"/>
    <x v="0"/>
    <d v="2023-01-26T00:00:00"/>
    <n v="60"/>
    <s v="Medium"/>
    <n v="2"/>
    <x v="0"/>
    <x v="4"/>
    <x v="2"/>
    <n v="2"/>
  </r>
  <r>
    <s v="Call_7338"/>
    <s v="C0010"/>
    <n v="124"/>
    <n v="2.0666666666666669"/>
    <x v="0"/>
    <x v="3"/>
    <d v="2023-01-27T00:00:00"/>
    <n v="215"/>
    <s v="Very High"/>
    <n v="4.0999999999999996"/>
    <x v="0"/>
    <x v="5"/>
    <x v="1"/>
    <n v="4"/>
  </r>
  <r>
    <s v="Call_7339"/>
    <s v="C0005"/>
    <n v="81"/>
    <n v="1.35"/>
    <x v="0"/>
    <x v="2"/>
    <d v="2023-01-27T00:00:00"/>
    <n v="156"/>
    <s v="Very High"/>
    <n v="2.6"/>
    <x v="0"/>
    <x v="5"/>
    <x v="0"/>
    <n v="3"/>
  </r>
  <r>
    <s v="Call_7340"/>
    <s v="C0006"/>
    <n v="141"/>
    <n v="2.35"/>
    <x v="0"/>
    <x v="4"/>
    <d v="2023-01-27T00:00:00"/>
    <n v="54"/>
    <s v="Medium"/>
    <n v="0"/>
    <x v="0"/>
    <x v="5"/>
    <x v="1"/>
    <n v="0"/>
  </r>
  <r>
    <s v="Call_7341"/>
    <s v="C0006"/>
    <n v="168"/>
    <n v="2.8"/>
    <x v="0"/>
    <x v="4"/>
    <d v="2023-01-28T00:00:00"/>
    <n v="160"/>
    <s v="Very High"/>
    <n v="3.9"/>
    <x v="0"/>
    <x v="6"/>
    <x v="1"/>
    <n v="4"/>
  </r>
  <r>
    <s v="Call_7342"/>
    <s v="C0001"/>
    <n v="101"/>
    <n v="1.6833333333333333"/>
    <x v="0"/>
    <x v="2"/>
    <d v="2023-01-28T00:00:00"/>
    <n v="80"/>
    <s v="Medium"/>
    <n v="4.8"/>
    <x v="0"/>
    <x v="6"/>
    <x v="0"/>
    <n v="5"/>
  </r>
  <r>
    <s v="Call_7343"/>
    <s v="C0013"/>
    <n v="67"/>
    <n v="1.1166666666666667"/>
    <x v="0"/>
    <x v="2"/>
    <d v="2023-01-28T00:00:00"/>
    <n v="168"/>
    <s v="Very High"/>
    <n v="2.6"/>
    <x v="0"/>
    <x v="6"/>
    <x v="0"/>
    <n v="3"/>
  </r>
  <r>
    <s v="Call_7344"/>
    <s v="C0008"/>
    <n v="114"/>
    <n v="1.9"/>
    <x v="0"/>
    <x v="4"/>
    <d v="2023-01-30T00:00:00"/>
    <n v="42"/>
    <s v="Low"/>
    <n v="2.6"/>
    <x v="0"/>
    <x v="1"/>
    <x v="0"/>
    <n v="3"/>
  </r>
  <r>
    <s v="Call_7345"/>
    <s v="C0005"/>
    <n v="42"/>
    <n v="0.7"/>
    <x v="1"/>
    <x v="2"/>
    <d v="2023-01-30T00:00:00"/>
    <n v="205"/>
    <s v="Very High"/>
    <n v="3.6"/>
    <x v="0"/>
    <x v="1"/>
    <x v="2"/>
    <n v="4"/>
  </r>
  <r>
    <s v="Call_7346"/>
    <s v="C0011"/>
    <n v="69"/>
    <n v="1.1499999999999999"/>
    <x v="0"/>
    <x v="4"/>
    <d v="2023-01-30T00:00:00"/>
    <n v="108"/>
    <s v="High"/>
    <n v="3.3"/>
    <x v="0"/>
    <x v="1"/>
    <x v="0"/>
    <n v="3"/>
  </r>
  <r>
    <s v="Call_7347"/>
    <s v="C0010"/>
    <n v="145"/>
    <n v="2.4166666666666665"/>
    <x v="0"/>
    <x v="1"/>
    <d v="2023-01-30T00:00:00"/>
    <n v="78"/>
    <s v="Medium"/>
    <n v="1.9"/>
    <x v="0"/>
    <x v="1"/>
    <x v="1"/>
    <n v="2"/>
  </r>
  <r>
    <s v="Call_7348"/>
    <s v="C0004"/>
    <n v="43"/>
    <n v="0.71666666666666667"/>
    <x v="1"/>
    <x v="4"/>
    <d v="2023-01-30T00:00:00"/>
    <n v="23"/>
    <s v="Low"/>
    <n v="4.9000000000000004"/>
    <x v="0"/>
    <x v="1"/>
    <x v="2"/>
    <n v="5"/>
  </r>
  <r>
    <s v="Call_7349"/>
    <s v="C0011"/>
    <n v="62"/>
    <n v="1.0333333333333334"/>
    <x v="0"/>
    <x v="0"/>
    <d v="2023-01-31T00:00:00"/>
    <n v="99"/>
    <s v="Medium"/>
    <n v="3.6"/>
    <x v="0"/>
    <x v="2"/>
    <x v="0"/>
    <n v="4"/>
  </r>
  <r>
    <s v="Call_7350"/>
    <s v="C0009"/>
    <n v="79"/>
    <n v="1.3166666666666667"/>
    <x v="0"/>
    <x v="4"/>
    <d v="2023-02-01T00:00:00"/>
    <n v="148"/>
    <s v="High"/>
    <n v="4.5"/>
    <x v="0"/>
    <x v="3"/>
    <x v="0"/>
    <n v="5"/>
  </r>
  <r>
    <s v="Call_7351"/>
    <s v="C0010"/>
    <n v="45"/>
    <n v="0.75"/>
    <x v="1"/>
    <x v="3"/>
    <d v="2023-02-01T00:00:00"/>
    <n v="34"/>
    <s v="Low"/>
    <n v="3.7"/>
    <x v="0"/>
    <x v="3"/>
    <x v="2"/>
    <n v="4"/>
  </r>
  <r>
    <s v="Call_7352"/>
    <s v="C0011"/>
    <n v="137"/>
    <n v="2.2833333333333332"/>
    <x v="0"/>
    <x v="4"/>
    <d v="2023-02-01T00:00:00"/>
    <n v="86"/>
    <s v="Medium"/>
    <n v="4.8"/>
    <x v="0"/>
    <x v="3"/>
    <x v="1"/>
    <n v="5"/>
  </r>
  <r>
    <s v="Call_7353"/>
    <s v="C0008"/>
    <n v="109"/>
    <n v="1.8166666666666667"/>
    <x v="0"/>
    <x v="0"/>
    <d v="2023-02-01T00:00:00"/>
    <n v="105"/>
    <s v="High"/>
    <n v="3.3"/>
    <x v="0"/>
    <x v="3"/>
    <x v="0"/>
    <n v="3"/>
  </r>
  <r>
    <s v="Call_7354"/>
    <s v="C0004"/>
    <n v="78"/>
    <n v="1.3"/>
    <x v="0"/>
    <x v="0"/>
    <d v="2023-02-01T00:00:00"/>
    <n v="62"/>
    <s v="Medium"/>
    <n v="3.1"/>
    <x v="0"/>
    <x v="3"/>
    <x v="0"/>
    <n v="3"/>
  </r>
  <r>
    <s v="Call_7355"/>
    <s v="C0011"/>
    <n v="137"/>
    <n v="2.2833333333333332"/>
    <x v="0"/>
    <x v="3"/>
    <d v="2023-02-01T00:00:00"/>
    <n v="90"/>
    <s v="Medium"/>
    <n v="4.0999999999999996"/>
    <x v="0"/>
    <x v="3"/>
    <x v="1"/>
    <n v="4"/>
  </r>
  <r>
    <s v="Call_7356"/>
    <s v="C0014"/>
    <n v="99"/>
    <n v="1.65"/>
    <x v="0"/>
    <x v="0"/>
    <d v="2023-02-02T00:00:00"/>
    <n v="112"/>
    <s v="High"/>
    <n v="4.9000000000000004"/>
    <x v="0"/>
    <x v="4"/>
    <x v="0"/>
    <n v="5"/>
  </r>
  <r>
    <s v="Call_7357"/>
    <s v="C0015"/>
    <n v="100"/>
    <n v="1.6666666666666667"/>
    <x v="0"/>
    <x v="0"/>
    <d v="2023-02-02T00:00:00"/>
    <n v="135"/>
    <s v="High"/>
    <n v="4"/>
    <x v="0"/>
    <x v="4"/>
    <x v="0"/>
    <n v="4"/>
  </r>
  <r>
    <s v="Call_7358"/>
    <s v="C0004"/>
    <n v="47"/>
    <n v="0.78333333333333333"/>
    <x v="1"/>
    <x v="1"/>
    <d v="2023-02-02T00:00:00"/>
    <n v="34"/>
    <s v="Low"/>
    <n v="2.1"/>
    <x v="0"/>
    <x v="4"/>
    <x v="2"/>
    <n v="2"/>
  </r>
  <r>
    <s v="Call_7359"/>
    <s v="C0008"/>
    <n v="87"/>
    <n v="1.45"/>
    <x v="0"/>
    <x v="2"/>
    <d v="2023-02-02T00:00:00"/>
    <n v="155"/>
    <s v="Very High"/>
    <n v="4.5"/>
    <x v="0"/>
    <x v="4"/>
    <x v="0"/>
    <n v="5"/>
  </r>
  <r>
    <s v="Call_7360"/>
    <s v="C0014"/>
    <n v="143"/>
    <n v="2.3833333333333333"/>
    <x v="0"/>
    <x v="2"/>
    <d v="2023-02-04T00:00:00"/>
    <n v="124"/>
    <s v="High"/>
    <n v="4.9000000000000004"/>
    <x v="0"/>
    <x v="6"/>
    <x v="1"/>
    <n v="5"/>
  </r>
  <r>
    <s v="Call_7361"/>
    <s v="C0015"/>
    <n v="84"/>
    <n v="1.4"/>
    <x v="0"/>
    <x v="0"/>
    <d v="2023-02-04T00:00:00"/>
    <n v="195"/>
    <s v="Very High"/>
    <n v="4.0999999999999996"/>
    <x v="0"/>
    <x v="6"/>
    <x v="0"/>
    <n v="4"/>
  </r>
  <r>
    <s v="Call_7362"/>
    <s v="C0001"/>
    <n v="55"/>
    <n v="0.91666666666666663"/>
    <x v="1"/>
    <x v="2"/>
    <d v="2023-02-05T00:00:00"/>
    <n v="78"/>
    <s v="Medium"/>
    <n v="4.5"/>
    <x v="0"/>
    <x v="0"/>
    <x v="2"/>
    <n v="5"/>
  </r>
  <r>
    <s v="Call_7363"/>
    <s v="C0007"/>
    <n v="135"/>
    <n v="2.25"/>
    <x v="0"/>
    <x v="3"/>
    <d v="2023-02-07T00:00:00"/>
    <n v="35"/>
    <s v="Low"/>
    <n v="4.8"/>
    <x v="0"/>
    <x v="2"/>
    <x v="1"/>
    <n v="5"/>
  </r>
  <r>
    <s v="Call_7364"/>
    <s v="C0012"/>
    <n v="152"/>
    <n v="2.5333333333333332"/>
    <x v="0"/>
    <x v="1"/>
    <d v="2023-02-07T00:00:00"/>
    <n v="123"/>
    <s v="High"/>
    <n v="4.5999999999999996"/>
    <x v="0"/>
    <x v="2"/>
    <x v="1"/>
    <n v="5"/>
  </r>
  <r>
    <s v="Call_7365"/>
    <s v="C0005"/>
    <n v="132"/>
    <n v="2.2000000000000002"/>
    <x v="0"/>
    <x v="1"/>
    <d v="2023-02-07T00:00:00"/>
    <n v="43"/>
    <s v="Low"/>
    <n v="4.5999999999999996"/>
    <x v="0"/>
    <x v="2"/>
    <x v="1"/>
    <n v="5"/>
  </r>
  <r>
    <s v="Call_7366"/>
    <s v="C0006"/>
    <n v="60"/>
    <n v="1"/>
    <x v="1"/>
    <x v="0"/>
    <d v="2023-02-08T00:00:00"/>
    <n v="69"/>
    <s v="Medium"/>
    <n v="4.3"/>
    <x v="0"/>
    <x v="3"/>
    <x v="2"/>
    <n v="4"/>
  </r>
  <r>
    <s v="Call_7367"/>
    <s v="C0012"/>
    <n v="95"/>
    <n v="1.5833333333333333"/>
    <x v="0"/>
    <x v="1"/>
    <d v="2023-02-08T00:00:00"/>
    <n v="130"/>
    <s v="High"/>
    <n v="5"/>
    <x v="0"/>
    <x v="3"/>
    <x v="0"/>
    <n v="5"/>
  </r>
  <r>
    <s v="Call_7368"/>
    <s v="C0003"/>
    <n v="96"/>
    <n v="1.6"/>
    <x v="0"/>
    <x v="4"/>
    <d v="2023-02-08T00:00:00"/>
    <n v="120"/>
    <s v="High"/>
    <n v="4"/>
    <x v="0"/>
    <x v="3"/>
    <x v="0"/>
    <n v="4"/>
  </r>
  <r>
    <s v="Call_7369"/>
    <s v="C0001"/>
    <n v="45"/>
    <n v="0.75"/>
    <x v="1"/>
    <x v="0"/>
    <d v="2023-02-09T00:00:00"/>
    <n v="84"/>
    <s v="Medium"/>
    <n v="4.5999999999999996"/>
    <x v="0"/>
    <x v="4"/>
    <x v="2"/>
    <n v="5"/>
  </r>
  <r>
    <s v="Call_7370"/>
    <s v="C0003"/>
    <n v="132"/>
    <n v="2.2000000000000002"/>
    <x v="0"/>
    <x v="4"/>
    <d v="2023-02-10T00:00:00"/>
    <n v="112"/>
    <s v="High"/>
    <n v="4.5"/>
    <x v="0"/>
    <x v="5"/>
    <x v="1"/>
    <n v="5"/>
  </r>
  <r>
    <s v="Call_7371"/>
    <s v="C0013"/>
    <n v="95"/>
    <n v="1.5833333333333333"/>
    <x v="0"/>
    <x v="0"/>
    <d v="2023-02-10T00:00:00"/>
    <n v="66"/>
    <s v="Medium"/>
    <n v="4.5999999999999996"/>
    <x v="0"/>
    <x v="5"/>
    <x v="0"/>
    <n v="5"/>
  </r>
  <r>
    <s v="Call_7372"/>
    <s v="C0012"/>
    <n v="131"/>
    <n v="2.1833333333333331"/>
    <x v="0"/>
    <x v="2"/>
    <d v="2023-02-10T00:00:00"/>
    <n v="172"/>
    <s v="Very High"/>
    <n v="2.6"/>
    <x v="0"/>
    <x v="5"/>
    <x v="1"/>
    <n v="3"/>
  </r>
  <r>
    <s v="Call_7373"/>
    <s v="C0009"/>
    <n v="67"/>
    <n v="1.1166666666666667"/>
    <x v="0"/>
    <x v="3"/>
    <d v="2023-02-11T00:00:00"/>
    <n v="24"/>
    <s v="Low"/>
    <n v="4.3"/>
    <x v="0"/>
    <x v="6"/>
    <x v="0"/>
    <n v="4"/>
  </r>
  <r>
    <s v="Call_7374"/>
    <s v="C0014"/>
    <n v="111"/>
    <n v="1.85"/>
    <x v="0"/>
    <x v="2"/>
    <d v="2023-02-12T00:00:00"/>
    <n v="43"/>
    <s v="Low"/>
    <n v="3.9"/>
    <x v="0"/>
    <x v="0"/>
    <x v="0"/>
    <n v="4"/>
  </r>
  <r>
    <s v="Call_7375"/>
    <s v="C0005"/>
    <n v="78"/>
    <n v="1.3"/>
    <x v="0"/>
    <x v="1"/>
    <d v="2023-02-12T00:00:00"/>
    <n v="23"/>
    <s v="Low"/>
    <n v="5"/>
    <x v="0"/>
    <x v="0"/>
    <x v="0"/>
    <n v="5"/>
  </r>
  <r>
    <s v="Call_7376"/>
    <s v="C0002"/>
    <n v="28"/>
    <n v="0.46666666666666667"/>
    <x v="2"/>
    <x v="4"/>
    <d v="2023-02-12T00:00:00"/>
    <n v="74"/>
    <s v="Medium"/>
    <n v="3.5"/>
    <x v="0"/>
    <x v="0"/>
    <x v="3"/>
    <n v="4"/>
  </r>
  <r>
    <s v="Call_7377"/>
    <s v="C0004"/>
    <n v="127"/>
    <n v="2.1166666666666667"/>
    <x v="0"/>
    <x v="3"/>
    <d v="2023-02-13T00:00:00"/>
    <n v="165"/>
    <s v="Very High"/>
    <n v="4.7"/>
    <x v="0"/>
    <x v="1"/>
    <x v="1"/>
    <n v="5"/>
  </r>
  <r>
    <s v="Call_7378"/>
    <s v="C0015"/>
    <n v="137"/>
    <n v="2.2833333333333332"/>
    <x v="0"/>
    <x v="2"/>
    <d v="2023-02-13T00:00:00"/>
    <n v="34"/>
    <s v="Low"/>
    <n v="2.9"/>
    <x v="0"/>
    <x v="1"/>
    <x v="1"/>
    <n v="3"/>
  </r>
  <r>
    <s v="Call_7379"/>
    <s v="C0004"/>
    <n v="76"/>
    <n v="1.2666666666666666"/>
    <x v="0"/>
    <x v="4"/>
    <d v="2023-02-13T00:00:00"/>
    <n v="64"/>
    <s v="Medium"/>
    <n v="3.4"/>
    <x v="0"/>
    <x v="1"/>
    <x v="0"/>
    <n v="3"/>
  </r>
  <r>
    <s v="Call_7380"/>
    <s v="C0005"/>
    <n v="80"/>
    <n v="1.3333333333333333"/>
    <x v="0"/>
    <x v="3"/>
    <d v="2023-02-14T00:00:00"/>
    <n v="155"/>
    <s v="Very High"/>
    <n v="3.2"/>
    <x v="0"/>
    <x v="2"/>
    <x v="0"/>
    <n v="3"/>
  </r>
  <r>
    <s v="Call_7381"/>
    <s v="C0004"/>
    <n v="95"/>
    <n v="1.5833333333333333"/>
    <x v="0"/>
    <x v="1"/>
    <d v="2023-02-15T00:00:00"/>
    <n v="120"/>
    <s v="High"/>
    <n v="4.8"/>
    <x v="0"/>
    <x v="3"/>
    <x v="0"/>
    <n v="5"/>
  </r>
  <r>
    <s v="Call_7382"/>
    <s v="C0006"/>
    <n v="30"/>
    <n v="0.5"/>
    <x v="2"/>
    <x v="4"/>
    <d v="2023-02-15T00:00:00"/>
    <n v="105"/>
    <s v="High"/>
    <n v="3.6"/>
    <x v="0"/>
    <x v="3"/>
    <x v="3"/>
    <n v="4"/>
  </r>
  <r>
    <s v="Call_7383"/>
    <s v="C0011"/>
    <n v="19"/>
    <n v="0.31666666666666665"/>
    <x v="2"/>
    <x v="2"/>
    <d v="2023-02-15T00:00:00"/>
    <n v="28"/>
    <s v="Low"/>
    <n v="4.9000000000000004"/>
    <x v="0"/>
    <x v="3"/>
    <x v="3"/>
    <n v="5"/>
  </r>
  <r>
    <s v="Call_7384"/>
    <s v="C0010"/>
    <n v="38"/>
    <n v="0.6333333333333333"/>
    <x v="1"/>
    <x v="3"/>
    <d v="2023-02-15T00:00:00"/>
    <n v="100"/>
    <s v="Medium"/>
    <n v="4.8"/>
    <x v="0"/>
    <x v="3"/>
    <x v="2"/>
    <n v="5"/>
  </r>
  <r>
    <s v="Call_7385"/>
    <s v="C0013"/>
    <n v="55"/>
    <n v="0.91666666666666663"/>
    <x v="1"/>
    <x v="2"/>
    <d v="2023-02-15T00:00:00"/>
    <n v="23"/>
    <s v="Low"/>
    <n v="3.6"/>
    <x v="0"/>
    <x v="3"/>
    <x v="2"/>
    <n v="4"/>
  </r>
  <r>
    <s v="Call_7386"/>
    <s v="C0009"/>
    <n v="27"/>
    <n v="0.45"/>
    <x v="2"/>
    <x v="4"/>
    <d v="2023-02-16T00:00:00"/>
    <n v="70"/>
    <s v="Medium"/>
    <n v="3.9"/>
    <x v="0"/>
    <x v="4"/>
    <x v="3"/>
    <n v="4"/>
  </r>
  <r>
    <s v="Call_7387"/>
    <s v="C0009"/>
    <n v="32"/>
    <n v="0.53333333333333333"/>
    <x v="1"/>
    <x v="4"/>
    <d v="2023-02-16T00:00:00"/>
    <n v="37"/>
    <s v="Low"/>
    <n v="1.9"/>
    <x v="0"/>
    <x v="4"/>
    <x v="2"/>
    <n v="2"/>
  </r>
  <r>
    <s v="Call_7388"/>
    <s v="C0002"/>
    <n v="116"/>
    <n v="1.9333333333333333"/>
    <x v="0"/>
    <x v="0"/>
    <d v="2023-02-16T00:00:00"/>
    <n v="140"/>
    <s v="High"/>
    <n v="3.6"/>
    <x v="0"/>
    <x v="4"/>
    <x v="0"/>
    <n v="4"/>
  </r>
  <r>
    <s v="Call_7389"/>
    <s v="C0003"/>
    <n v="99"/>
    <n v="1.65"/>
    <x v="0"/>
    <x v="1"/>
    <d v="2023-02-16T00:00:00"/>
    <n v="78"/>
    <s v="Medium"/>
    <n v="4.0999999999999996"/>
    <x v="0"/>
    <x v="4"/>
    <x v="0"/>
    <n v="4"/>
  </r>
  <r>
    <s v="Call_7390"/>
    <s v="C0004"/>
    <n v="75"/>
    <n v="1.25"/>
    <x v="0"/>
    <x v="4"/>
    <d v="2023-02-17T00:00:00"/>
    <n v="21"/>
    <s v="Low"/>
    <n v="4.2"/>
    <x v="0"/>
    <x v="5"/>
    <x v="0"/>
    <n v="4"/>
  </r>
  <r>
    <s v="Call_7391"/>
    <s v="C0005"/>
    <n v="57"/>
    <n v="0.95"/>
    <x v="1"/>
    <x v="0"/>
    <d v="2023-02-17T00:00:00"/>
    <n v="88"/>
    <s v="Medium"/>
    <n v="4.3"/>
    <x v="0"/>
    <x v="5"/>
    <x v="2"/>
    <n v="4"/>
  </r>
  <r>
    <s v="Call_7392"/>
    <s v="C0007"/>
    <n v="155"/>
    <n v="2.5833333333333335"/>
    <x v="0"/>
    <x v="0"/>
    <d v="2023-02-18T00:00:00"/>
    <n v="180"/>
    <s v="Very High"/>
    <n v="2.2000000000000002"/>
    <x v="0"/>
    <x v="6"/>
    <x v="1"/>
    <n v="2"/>
  </r>
  <r>
    <s v="Call_7393"/>
    <s v="C0003"/>
    <n v="68"/>
    <n v="1.1333333333333333"/>
    <x v="0"/>
    <x v="1"/>
    <d v="2023-02-18T00:00:00"/>
    <n v="22"/>
    <s v="Low"/>
    <n v="3.3"/>
    <x v="0"/>
    <x v="6"/>
    <x v="0"/>
    <n v="3"/>
  </r>
  <r>
    <s v="Call_7394"/>
    <s v="C0010"/>
    <n v="95"/>
    <n v="1.5833333333333333"/>
    <x v="0"/>
    <x v="1"/>
    <d v="2023-02-18T00:00:00"/>
    <n v="52"/>
    <s v="Medium"/>
    <n v="4.8"/>
    <x v="0"/>
    <x v="6"/>
    <x v="0"/>
    <n v="5"/>
  </r>
  <r>
    <s v="Call_7395"/>
    <s v="C0015"/>
    <n v="65"/>
    <n v="1.0833333333333333"/>
    <x v="0"/>
    <x v="0"/>
    <d v="2023-02-19T00:00:00"/>
    <n v="80"/>
    <s v="Medium"/>
    <n v="4"/>
    <x v="0"/>
    <x v="0"/>
    <x v="0"/>
    <n v="4"/>
  </r>
  <r>
    <s v="Call_7396"/>
    <s v="C0011"/>
    <n v="114"/>
    <n v="1.9"/>
    <x v="0"/>
    <x v="2"/>
    <d v="2023-02-19T00:00:00"/>
    <n v="54"/>
    <s v="Medium"/>
    <n v="1.1000000000000001"/>
    <x v="0"/>
    <x v="0"/>
    <x v="0"/>
    <n v="1"/>
  </r>
  <r>
    <s v="Call_7397"/>
    <s v="C0004"/>
    <n v="155"/>
    <n v="2.5833333333333335"/>
    <x v="0"/>
    <x v="2"/>
    <d v="2023-02-20T00:00:00"/>
    <n v="80"/>
    <s v="Medium"/>
    <n v="3.9"/>
    <x v="0"/>
    <x v="1"/>
    <x v="1"/>
    <n v="4"/>
  </r>
  <r>
    <s v="Call_7398"/>
    <s v="C0015"/>
    <n v="114"/>
    <n v="1.9"/>
    <x v="0"/>
    <x v="0"/>
    <d v="2023-02-21T00:00:00"/>
    <n v="120"/>
    <s v="High"/>
    <n v="1.8"/>
    <x v="0"/>
    <x v="2"/>
    <x v="0"/>
    <n v="2"/>
  </r>
  <r>
    <s v="Call_7399"/>
    <s v="C0007"/>
    <n v="130"/>
    <n v="2.1666666666666665"/>
    <x v="0"/>
    <x v="3"/>
    <d v="2023-02-21T00:00:00"/>
    <n v="150"/>
    <s v="High"/>
    <n v="1"/>
    <x v="0"/>
    <x v="2"/>
    <x v="1"/>
    <n v="1"/>
  </r>
  <r>
    <s v="Call_7400"/>
    <s v="C0004"/>
    <n v="89"/>
    <n v="1.4833333333333334"/>
    <x v="0"/>
    <x v="0"/>
    <d v="2023-02-21T00:00:00"/>
    <n v="90"/>
    <s v="Medium"/>
    <n v="4.3"/>
    <x v="0"/>
    <x v="2"/>
    <x v="0"/>
    <n v="4"/>
  </r>
  <r>
    <s v="Call_7401"/>
    <s v="C0001"/>
    <n v="61"/>
    <n v="1.0166666666666666"/>
    <x v="0"/>
    <x v="4"/>
    <d v="2023-02-22T00:00:00"/>
    <n v="140"/>
    <s v="High"/>
    <n v="3.4"/>
    <x v="0"/>
    <x v="3"/>
    <x v="0"/>
    <n v="3"/>
  </r>
  <r>
    <s v="Call_7402"/>
    <s v="C0010"/>
    <n v="154"/>
    <n v="2.5666666666666669"/>
    <x v="0"/>
    <x v="2"/>
    <d v="2023-02-22T00:00:00"/>
    <n v="22"/>
    <s v="Low"/>
    <n v="3.4"/>
    <x v="0"/>
    <x v="3"/>
    <x v="1"/>
    <n v="3"/>
  </r>
  <r>
    <s v="Call_7403"/>
    <s v="C0015"/>
    <n v="115"/>
    <n v="1.9166666666666667"/>
    <x v="0"/>
    <x v="3"/>
    <d v="2023-02-23T00:00:00"/>
    <n v="150"/>
    <s v="High"/>
    <n v="4.0999999999999996"/>
    <x v="0"/>
    <x v="4"/>
    <x v="0"/>
    <n v="4"/>
  </r>
  <r>
    <s v="Call_7404"/>
    <s v="C0008"/>
    <n v="138"/>
    <n v="2.2999999999999998"/>
    <x v="0"/>
    <x v="1"/>
    <d v="2023-02-24T00:00:00"/>
    <n v="35"/>
    <s v="Low"/>
    <n v="4.8"/>
    <x v="0"/>
    <x v="5"/>
    <x v="1"/>
    <n v="5"/>
  </r>
  <r>
    <s v="Call_7405"/>
    <s v="C0014"/>
    <n v="153"/>
    <n v="2.5499999999999998"/>
    <x v="0"/>
    <x v="0"/>
    <d v="2023-02-24T00:00:00"/>
    <n v="200"/>
    <s v="Very High"/>
    <n v="2"/>
    <x v="0"/>
    <x v="5"/>
    <x v="1"/>
    <n v="2"/>
  </r>
  <r>
    <s v="Call_7406"/>
    <s v="C0015"/>
    <n v="61"/>
    <n v="1.0166666666666666"/>
    <x v="0"/>
    <x v="4"/>
    <d v="2023-02-25T00:00:00"/>
    <n v="150"/>
    <s v="High"/>
    <n v="4.5999999999999996"/>
    <x v="0"/>
    <x v="6"/>
    <x v="0"/>
    <n v="5"/>
  </r>
  <r>
    <s v="Call_7407"/>
    <s v="C0009"/>
    <n v="62"/>
    <n v="1.0333333333333334"/>
    <x v="0"/>
    <x v="0"/>
    <d v="2023-02-25T00:00:00"/>
    <n v="21"/>
    <s v="Low"/>
    <n v="2.6"/>
    <x v="0"/>
    <x v="6"/>
    <x v="0"/>
    <n v="3"/>
  </r>
  <r>
    <s v="Call_7408"/>
    <s v="C0001"/>
    <n v="151"/>
    <n v="2.5166666666666666"/>
    <x v="0"/>
    <x v="3"/>
    <d v="2023-02-26T00:00:00"/>
    <n v="46"/>
    <s v="Low"/>
    <n v="4.9000000000000004"/>
    <x v="0"/>
    <x v="0"/>
    <x v="1"/>
    <n v="5"/>
  </r>
  <r>
    <s v="Call_7409"/>
    <s v="C0012"/>
    <n v="102"/>
    <n v="1.7"/>
    <x v="0"/>
    <x v="2"/>
    <d v="2023-02-26T00:00:00"/>
    <n v="165"/>
    <s v="Very High"/>
    <n v="2.7"/>
    <x v="0"/>
    <x v="0"/>
    <x v="0"/>
    <n v="3"/>
  </r>
  <r>
    <s v="Call_7410"/>
    <s v="C0006"/>
    <n v="64"/>
    <n v="1.0666666666666667"/>
    <x v="0"/>
    <x v="0"/>
    <d v="2023-02-26T00:00:00"/>
    <n v="84"/>
    <s v="Medium"/>
    <n v="4.0999999999999996"/>
    <x v="0"/>
    <x v="0"/>
    <x v="0"/>
    <n v="4"/>
  </r>
  <r>
    <s v="Call_7411"/>
    <s v="C0004"/>
    <n v="6"/>
    <n v="0.1"/>
    <x v="3"/>
    <x v="2"/>
    <d v="2023-02-27T00:00:00"/>
    <n v="102"/>
    <s v="High"/>
    <n v="4.4000000000000004"/>
    <x v="0"/>
    <x v="1"/>
    <x v="4"/>
    <n v="4"/>
  </r>
  <r>
    <s v="Call_7412"/>
    <s v="C0006"/>
    <n v="129"/>
    <n v="2.15"/>
    <x v="0"/>
    <x v="0"/>
    <d v="2023-02-27T00:00:00"/>
    <n v="180"/>
    <s v="Very High"/>
    <n v="4.8"/>
    <x v="0"/>
    <x v="1"/>
    <x v="1"/>
    <n v="5"/>
  </r>
  <r>
    <s v="Call_7413"/>
    <s v="C0009"/>
    <n v="42"/>
    <n v="0.7"/>
    <x v="1"/>
    <x v="3"/>
    <d v="2023-02-28T00:00:00"/>
    <n v="111"/>
    <s v="High"/>
    <n v="3"/>
    <x v="0"/>
    <x v="2"/>
    <x v="2"/>
    <n v="3"/>
  </r>
  <r>
    <s v="Call_7414"/>
    <s v="C0009"/>
    <n v="71"/>
    <n v="1.1833333333333333"/>
    <x v="0"/>
    <x v="4"/>
    <d v="2023-02-28T00:00:00"/>
    <n v="104"/>
    <s v="High"/>
    <n v="3.1"/>
    <x v="0"/>
    <x v="2"/>
    <x v="0"/>
    <n v="3"/>
  </r>
  <r>
    <s v="Call_7415"/>
    <s v="C0005"/>
    <n v="53"/>
    <n v="0.8833333333333333"/>
    <x v="1"/>
    <x v="2"/>
    <d v="2023-02-28T00:00:00"/>
    <n v="80"/>
    <s v="Medium"/>
    <n v="2.6"/>
    <x v="0"/>
    <x v="2"/>
    <x v="2"/>
    <n v="3"/>
  </r>
  <r>
    <s v="Call_7416"/>
    <s v="C0011"/>
    <n v="155"/>
    <n v="2.5833333333333335"/>
    <x v="0"/>
    <x v="4"/>
    <d v="2023-03-01T00:00:00"/>
    <n v="132"/>
    <s v="High"/>
    <n v="4.5999999999999996"/>
    <x v="0"/>
    <x v="3"/>
    <x v="1"/>
    <n v="5"/>
  </r>
  <r>
    <s v="Call_7417"/>
    <s v="C0011"/>
    <n v="90"/>
    <n v="1.5"/>
    <x v="0"/>
    <x v="3"/>
    <d v="2023-03-01T00:00:00"/>
    <n v="170"/>
    <s v="Very High"/>
    <n v="3.7"/>
    <x v="0"/>
    <x v="3"/>
    <x v="0"/>
    <n v="4"/>
  </r>
  <r>
    <s v="Call_7418"/>
    <s v="C0006"/>
    <n v="166"/>
    <n v="2.7666666666666666"/>
    <x v="0"/>
    <x v="1"/>
    <d v="2023-03-01T00:00:00"/>
    <n v="36"/>
    <s v="Low"/>
    <n v="3.8"/>
    <x v="0"/>
    <x v="3"/>
    <x v="1"/>
    <n v="4"/>
  </r>
  <r>
    <s v="Call_7419"/>
    <s v="C0002"/>
    <n v="89"/>
    <n v="1.4833333333333334"/>
    <x v="0"/>
    <x v="4"/>
    <d v="2023-03-01T00:00:00"/>
    <n v="126"/>
    <s v="High"/>
    <n v="3.6"/>
    <x v="0"/>
    <x v="3"/>
    <x v="0"/>
    <n v="4"/>
  </r>
  <r>
    <s v="Call_7420"/>
    <s v="C0015"/>
    <n v="152"/>
    <n v="2.5333333333333332"/>
    <x v="0"/>
    <x v="2"/>
    <d v="2023-03-01T00:00:00"/>
    <n v="215"/>
    <s v="Very High"/>
    <n v="4.4000000000000004"/>
    <x v="0"/>
    <x v="3"/>
    <x v="1"/>
    <n v="4"/>
  </r>
  <r>
    <s v="Call_7421"/>
    <s v="C0002"/>
    <n v="137"/>
    <n v="2.2833333333333332"/>
    <x v="0"/>
    <x v="3"/>
    <d v="2023-03-01T00:00:00"/>
    <n v="114"/>
    <s v="High"/>
    <n v="3.2"/>
    <x v="0"/>
    <x v="3"/>
    <x v="1"/>
    <n v="3"/>
  </r>
  <r>
    <s v="Call_7422"/>
    <s v="C0002"/>
    <n v="43"/>
    <n v="0.71666666666666667"/>
    <x v="1"/>
    <x v="3"/>
    <d v="2023-03-01T00:00:00"/>
    <n v="99"/>
    <s v="Medium"/>
    <n v="4.7"/>
    <x v="0"/>
    <x v="3"/>
    <x v="2"/>
    <n v="5"/>
  </r>
  <r>
    <s v="Call_7423"/>
    <s v="C0010"/>
    <n v="114"/>
    <n v="1.9"/>
    <x v="0"/>
    <x v="3"/>
    <d v="2023-03-02T00:00:00"/>
    <n v="23"/>
    <s v="Low"/>
    <n v="4.8"/>
    <x v="0"/>
    <x v="4"/>
    <x v="0"/>
    <n v="5"/>
  </r>
  <r>
    <s v="Call_7424"/>
    <s v="C0014"/>
    <n v="103"/>
    <n v="1.7166666666666666"/>
    <x v="0"/>
    <x v="4"/>
    <d v="2023-03-02T00:00:00"/>
    <n v="75"/>
    <s v="Medium"/>
    <n v="2.7"/>
    <x v="0"/>
    <x v="4"/>
    <x v="0"/>
    <n v="3"/>
  </r>
  <r>
    <s v="Call_7425"/>
    <s v="C0002"/>
    <n v="98"/>
    <n v="1.6333333333333333"/>
    <x v="0"/>
    <x v="2"/>
    <d v="2023-03-02T00:00:00"/>
    <n v="100"/>
    <s v="Medium"/>
    <n v="3.8"/>
    <x v="0"/>
    <x v="4"/>
    <x v="0"/>
    <n v="4"/>
  </r>
  <r>
    <s v="Call_7426"/>
    <s v="C0006"/>
    <n v="106"/>
    <n v="1.7666666666666666"/>
    <x v="0"/>
    <x v="1"/>
    <d v="2023-03-02T00:00:00"/>
    <n v="108"/>
    <s v="High"/>
    <n v="4.3"/>
    <x v="0"/>
    <x v="4"/>
    <x v="0"/>
    <n v="4"/>
  </r>
  <r>
    <s v="Call_7427"/>
    <s v="C0004"/>
    <n v="96"/>
    <n v="1.6"/>
    <x v="0"/>
    <x v="1"/>
    <d v="2023-03-02T00:00:00"/>
    <n v="108"/>
    <s v="High"/>
    <n v="5"/>
    <x v="0"/>
    <x v="4"/>
    <x v="0"/>
    <n v="5"/>
  </r>
  <r>
    <s v="Call_7428"/>
    <s v="C0014"/>
    <n v="70"/>
    <n v="1.1666666666666667"/>
    <x v="0"/>
    <x v="1"/>
    <d v="2023-03-02T00:00:00"/>
    <n v="28"/>
    <s v="Low"/>
    <n v="4.8"/>
    <x v="0"/>
    <x v="4"/>
    <x v="0"/>
    <n v="5"/>
  </r>
  <r>
    <s v="Call_7429"/>
    <s v="C0009"/>
    <n v="86"/>
    <n v="1.4333333333333333"/>
    <x v="0"/>
    <x v="0"/>
    <d v="2023-03-03T00:00:00"/>
    <n v="70"/>
    <s v="Medium"/>
    <n v="4.9000000000000004"/>
    <x v="0"/>
    <x v="5"/>
    <x v="0"/>
    <n v="5"/>
  </r>
  <r>
    <s v="Call_7430"/>
    <s v="C0005"/>
    <n v="64"/>
    <n v="1.0666666666666667"/>
    <x v="0"/>
    <x v="0"/>
    <d v="2023-03-03T00:00:00"/>
    <n v="172"/>
    <s v="Very High"/>
    <n v="4.0999999999999996"/>
    <x v="0"/>
    <x v="5"/>
    <x v="0"/>
    <n v="4"/>
  </r>
  <r>
    <s v="Call_7431"/>
    <s v="C0004"/>
    <n v="113"/>
    <n v="1.8833333333333333"/>
    <x v="0"/>
    <x v="2"/>
    <d v="2023-03-03T00:00:00"/>
    <n v="123"/>
    <s v="High"/>
    <n v="4.4000000000000004"/>
    <x v="0"/>
    <x v="5"/>
    <x v="0"/>
    <n v="4"/>
  </r>
  <r>
    <s v="Call_7432"/>
    <s v="C0004"/>
    <n v="21"/>
    <n v="0.35"/>
    <x v="2"/>
    <x v="1"/>
    <d v="2023-03-03T00:00:00"/>
    <n v="93"/>
    <s v="Medium"/>
    <n v="3.4"/>
    <x v="0"/>
    <x v="5"/>
    <x v="3"/>
    <n v="3"/>
  </r>
  <r>
    <s v="Call_7433"/>
    <s v="C0012"/>
    <n v="107"/>
    <n v="1.7833333333333334"/>
    <x v="0"/>
    <x v="0"/>
    <d v="2023-03-03T00:00:00"/>
    <n v="66"/>
    <s v="Medium"/>
    <n v="4"/>
    <x v="0"/>
    <x v="5"/>
    <x v="0"/>
    <n v="4"/>
  </r>
  <r>
    <s v="Call_7434"/>
    <s v="C0012"/>
    <n v="131"/>
    <n v="2.1833333333333331"/>
    <x v="0"/>
    <x v="1"/>
    <d v="2023-03-03T00:00:00"/>
    <n v="39"/>
    <s v="Low"/>
    <n v="2.4"/>
    <x v="0"/>
    <x v="5"/>
    <x v="1"/>
    <n v="2"/>
  </r>
  <r>
    <s v="Call_7435"/>
    <s v="C0003"/>
    <n v="11"/>
    <n v="0.18333333333333332"/>
    <x v="3"/>
    <x v="4"/>
    <d v="2023-03-03T00:00:00"/>
    <n v="25"/>
    <s v="Low"/>
    <n v="2.1"/>
    <x v="0"/>
    <x v="5"/>
    <x v="3"/>
    <n v="2"/>
  </r>
  <r>
    <s v="Call_7436"/>
    <s v="C0001"/>
    <n v="86"/>
    <n v="1.4333333333333333"/>
    <x v="0"/>
    <x v="2"/>
    <d v="2023-03-03T00:00:00"/>
    <n v="68"/>
    <s v="Medium"/>
    <n v="3"/>
    <x v="0"/>
    <x v="5"/>
    <x v="0"/>
    <n v="3"/>
  </r>
  <r>
    <s v="Call_7437"/>
    <s v="C0005"/>
    <n v="28"/>
    <n v="0.46666666666666667"/>
    <x v="2"/>
    <x v="4"/>
    <d v="2023-03-03T00:00:00"/>
    <n v="84"/>
    <s v="Medium"/>
    <n v="3.2"/>
    <x v="0"/>
    <x v="5"/>
    <x v="3"/>
    <n v="3"/>
  </r>
  <r>
    <s v="Call_7438"/>
    <s v="C0011"/>
    <n v="139"/>
    <n v="2.3166666666666669"/>
    <x v="0"/>
    <x v="1"/>
    <d v="2023-03-04T00:00:00"/>
    <n v="88"/>
    <s v="Medium"/>
    <n v="3.4"/>
    <x v="0"/>
    <x v="6"/>
    <x v="1"/>
    <n v="3"/>
  </r>
  <r>
    <s v="Call_7439"/>
    <s v="C0006"/>
    <n v="82"/>
    <n v="1.3666666666666667"/>
    <x v="0"/>
    <x v="2"/>
    <d v="2023-03-04T00:00:00"/>
    <n v="93"/>
    <s v="Medium"/>
    <n v="2.7"/>
    <x v="0"/>
    <x v="6"/>
    <x v="0"/>
    <n v="3"/>
  </r>
  <r>
    <s v="Call_7440"/>
    <s v="C0004"/>
    <n v="101"/>
    <n v="1.6833333333333333"/>
    <x v="0"/>
    <x v="4"/>
    <d v="2023-03-04T00:00:00"/>
    <n v="128"/>
    <s v="High"/>
    <n v="5"/>
    <x v="0"/>
    <x v="6"/>
    <x v="0"/>
    <n v="5"/>
  </r>
  <r>
    <s v="Call_7441"/>
    <s v="C0005"/>
    <n v="75"/>
    <n v="1.25"/>
    <x v="0"/>
    <x v="3"/>
    <d v="2023-03-04T00:00:00"/>
    <n v="40"/>
    <s v="Low"/>
    <n v="3.4"/>
    <x v="0"/>
    <x v="6"/>
    <x v="0"/>
    <n v="3"/>
  </r>
  <r>
    <s v="Call_7442"/>
    <s v="C0010"/>
    <n v="40"/>
    <n v="0.66666666666666663"/>
    <x v="1"/>
    <x v="4"/>
    <d v="2023-03-05T00:00:00"/>
    <n v="92"/>
    <s v="Medium"/>
    <n v="4.7"/>
    <x v="0"/>
    <x v="0"/>
    <x v="2"/>
    <n v="5"/>
  </r>
  <r>
    <s v="Call_7443"/>
    <s v="C0002"/>
    <n v="86"/>
    <n v="1.4333333333333333"/>
    <x v="0"/>
    <x v="1"/>
    <d v="2023-03-05T00:00:00"/>
    <n v="27"/>
    <s v="Low"/>
    <n v="4.5"/>
    <x v="0"/>
    <x v="0"/>
    <x v="0"/>
    <n v="5"/>
  </r>
  <r>
    <s v="Call_7444"/>
    <s v="C0007"/>
    <n v="131"/>
    <n v="2.1833333333333331"/>
    <x v="0"/>
    <x v="0"/>
    <d v="2023-03-05T00:00:00"/>
    <n v="140"/>
    <s v="High"/>
    <n v="4.0999999999999996"/>
    <x v="0"/>
    <x v="0"/>
    <x v="1"/>
    <n v="4"/>
  </r>
  <r>
    <s v="Call_7445"/>
    <s v="C0012"/>
    <n v="67"/>
    <n v="1.1166666666666667"/>
    <x v="0"/>
    <x v="2"/>
    <d v="2023-03-05T00:00:00"/>
    <n v="40"/>
    <s v="Low"/>
    <n v="5"/>
    <x v="0"/>
    <x v="0"/>
    <x v="0"/>
    <n v="5"/>
  </r>
  <r>
    <s v="Call_7446"/>
    <s v="C0008"/>
    <n v="71"/>
    <n v="1.1833333333333333"/>
    <x v="0"/>
    <x v="4"/>
    <d v="2023-03-05T00:00:00"/>
    <n v="102"/>
    <s v="High"/>
    <n v="4.7"/>
    <x v="0"/>
    <x v="0"/>
    <x v="0"/>
    <n v="5"/>
  </r>
  <r>
    <s v="Call_7447"/>
    <s v="C0007"/>
    <n v="113"/>
    <n v="1.8833333333333333"/>
    <x v="0"/>
    <x v="0"/>
    <d v="2023-03-05T00:00:00"/>
    <n v="42"/>
    <s v="Low"/>
    <n v="4.2"/>
    <x v="0"/>
    <x v="0"/>
    <x v="0"/>
    <n v="4"/>
  </r>
  <r>
    <s v="Call_7448"/>
    <s v="C0006"/>
    <n v="53"/>
    <n v="0.8833333333333333"/>
    <x v="1"/>
    <x v="1"/>
    <d v="2023-03-06T00:00:00"/>
    <n v="210"/>
    <s v="Very High"/>
    <n v="3.9"/>
    <x v="0"/>
    <x v="1"/>
    <x v="2"/>
    <n v="4"/>
  </r>
  <r>
    <s v="Call_7449"/>
    <s v="C0007"/>
    <n v="153"/>
    <n v="2.5499999999999998"/>
    <x v="0"/>
    <x v="2"/>
    <d v="2023-03-06T00:00:00"/>
    <n v="34"/>
    <s v="Low"/>
    <n v="3"/>
    <x v="0"/>
    <x v="1"/>
    <x v="1"/>
    <n v="3"/>
  </r>
  <r>
    <s v="Call_7450"/>
    <s v="C0012"/>
    <n v="73"/>
    <n v="1.2166666666666666"/>
    <x v="0"/>
    <x v="3"/>
    <d v="2023-03-06T00:00:00"/>
    <n v="215"/>
    <s v="Very High"/>
    <n v="3.6"/>
    <x v="0"/>
    <x v="1"/>
    <x v="0"/>
    <n v="4"/>
  </r>
  <r>
    <s v="Call_7451"/>
    <s v="C0009"/>
    <n v="62"/>
    <n v="1.0333333333333334"/>
    <x v="0"/>
    <x v="3"/>
    <d v="2023-03-06T00:00:00"/>
    <n v="32"/>
    <s v="Low"/>
    <n v="0.7"/>
    <x v="0"/>
    <x v="1"/>
    <x v="0"/>
    <n v="1"/>
  </r>
  <r>
    <s v="Call_7452"/>
    <s v="C0011"/>
    <n v="115"/>
    <n v="1.9166666666666667"/>
    <x v="0"/>
    <x v="1"/>
    <d v="2023-03-07T00:00:00"/>
    <n v="48"/>
    <s v="Low"/>
    <n v="4.7"/>
    <x v="0"/>
    <x v="2"/>
    <x v="0"/>
    <n v="5"/>
  </r>
  <r>
    <s v="Call_7453"/>
    <s v="C0007"/>
    <n v="69"/>
    <n v="1.1499999999999999"/>
    <x v="0"/>
    <x v="1"/>
    <d v="2023-03-07T00:00:00"/>
    <n v="132"/>
    <s v="High"/>
    <n v="4.5"/>
    <x v="0"/>
    <x v="2"/>
    <x v="0"/>
    <n v="5"/>
  </r>
  <r>
    <s v="Call_7454"/>
    <s v="C0002"/>
    <n v="103"/>
    <n v="1.7166666666666666"/>
    <x v="0"/>
    <x v="0"/>
    <d v="2023-03-07T00:00:00"/>
    <n v="172"/>
    <s v="Very High"/>
    <n v="4.3"/>
    <x v="0"/>
    <x v="2"/>
    <x v="0"/>
    <n v="4"/>
  </r>
  <r>
    <s v="Call_7455"/>
    <s v="C0002"/>
    <n v="75"/>
    <n v="1.25"/>
    <x v="0"/>
    <x v="0"/>
    <d v="2023-03-07T00:00:00"/>
    <n v="111"/>
    <s v="High"/>
    <n v="3.4"/>
    <x v="0"/>
    <x v="2"/>
    <x v="0"/>
    <n v="3"/>
  </r>
  <r>
    <s v="Call_7456"/>
    <s v="C0013"/>
    <n v="92"/>
    <n v="1.5333333333333334"/>
    <x v="0"/>
    <x v="0"/>
    <d v="2023-03-07T00:00:00"/>
    <n v="58"/>
    <s v="Medium"/>
    <n v="3.6"/>
    <x v="0"/>
    <x v="2"/>
    <x v="0"/>
    <n v="4"/>
  </r>
  <r>
    <s v="Call_7457"/>
    <s v="C0013"/>
    <n v="41"/>
    <n v="0.68333333333333335"/>
    <x v="1"/>
    <x v="3"/>
    <d v="2023-03-07T00:00:00"/>
    <n v="68"/>
    <s v="Medium"/>
    <n v="4"/>
    <x v="0"/>
    <x v="2"/>
    <x v="2"/>
    <n v="4"/>
  </r>
  <r>
    <s v="Call_7458"/>
    <s v="C0002"/>
    <n v="134"/>
    <n v="2.2333333333333334"/>
    <x v="0"/>
    <x v="2"/>
    <d v="2023-03-07T00:00:00"/>
    <n v="160"/>
    <s v="Very High"/>
    <n v="4.5"/>
    <x v="0"/>
    <x v="2"/>
    <x v="1"/>
    <n v="5"/>
  </r>
  <r>
    <s v="Call_7459"/>
    <s v="C0001"/>
    <n v="80"/>
    <n v="1.3333333333333333"/>
    <x v="0"/>
    <x v="4"/>
    <d v="2023-03-07T00:00:00"/>
    <n v="45"/>
    <s v="Low"/>
    <n v="3"/>
    <x v="0"/>
    <x v="2"/>
    <x v="0"/>
    <n v="3"/>
  </r>
  <r>
    <s v="Call_7460"/>
    <s v="C0008"/>
    <n v="103"/>
    <n v="1.7166666666666666"/>
    <x v="0"/>
    <x v="1"/>
    <d v="2023-03-08T00:00:00"/>
    <n v="117"/>
    <s v="High"/>
    <n v="3"/>
    <x v="0"/>
    <x v="3"/>
    <x v="0"/>
    <n v="3"/>
  </r>
  <r>
    <s v="Call_7461"/>
    <s v="C0006"/>
    <n v="20"/>
    <n v="0.33333333333333331"/>
    <x v="2"/>
    <x v="0"/>
    <d v="2023-03-09T00:00:00"/>
    <n v="22"/>
    <s v="Low"/>
    <n v="1.6"/>
    <x v="0"/>
    <x v="4"/>
    <x v="3"/>
    <n v="2"/>
  </r>
  <r>
    <s v="Call_7462"/>
    <s v="C0008"/>
    <n v="75"/>
    <n v="1.25"/>
    <x v="0"/>
    <x v="4"/>
    <d v="2023-03-09T00:00:00"/>
    <n v="195"/>
    <s v="Very High"/>
    <n v="3"/>
    <x v="0"/>
    <x v="4"/>
    <x v="0"/>
    <n v="3"/>
  </r>
  <r>
    <s v="Call_7463"/>
    <s v="C0013"/>
    <n v="80"/>
    <n v="1.3333333333333333"/>
    <x v="0"/>
    <x v="2"/>
    <d v="2023-03-09T00:00:00"/>
    <n v="168"/>
    <s v="Very High"/>
    <n v="3.7"/>
    <x v="0"/>
    <x v="4"/>
    <x v="0"/>
    <n v="4"/>
  </r>
  <r>
    <s v="Call_7464"/>
    <s v="C0007"/>
    <n v="85"/>
    <n v="1.4166666666666667"/>
    <x v="0"/>
    <x v="3"/>
    <d v="2023-03-10T00:00:00"/>
    <n v="46"/>
    <s v="Low"/>
    <n v="4.9000000000000004"/>
    <x v="0"/>
    <x v="5"/>
    <x v="0"/>
    <n v="5"/>
  </r>
  <r>
    <s v="Call_7465"/>
    <s v="C0004"/>
    <n v="155"/>
    <n v="2.5833333333333335"/>
    <x v="0"/>
    <x v="0"/>
    <d v="2023-03-10T00:00:00"/>
    <n v="164"/>
    <s v="Very High"/>
    <n v="3.4"/>
    <x v="0"/>
    <x v="5"/>
    <x v="1"/>
    <n v="3"/>
  </r>
  <r>
    <s v="Call_7466"/>
    <s v="C0007"/>
    <n v="63"/>
    <n v="1.05"/>
    <x v="0"/>
    <x v="3"/>
    <d v="2023-03-10T00:00:00"/>
    <n v="48"/>
    <s v="Low"/>
    <n v="5"/>
    <x v="0"/>
    <x v="5"/>
    <x v="0"/>
    <n v="5"/>
  </r>
  <r>
    <s v="Call_7467"/>
    <s v="C0005"/>
    <n v="105"/>
    <n v="1.75"/>
    <x v="0"/>
    <x v="1"/>
    <d v="2023-03-10T00:00:00"/>
    <n v="96"/>
    <s v="Medium"/>
    <n v="5"/>
    <x v="0"/>
    <x v="5"/>
    <x v="0"/>
    <n v="5"/>
  </r>
  <r>
    <s v="Call_7468"/>
    <s v="C0007"/>
    <n v="71"/>
    <n v="1.1833333333333333"/>
    <x v="0"/>
    <x v="3"/>
    <d v="2023-03-10T00:00:00"/>
    <n v="105"/>
    <s v="High"/>
    <n v="4"/>
    <x v="0"/>
    <x v="5"/>
    <x v="0"/>
    <n v="4"/>
  </r>
  <r>
    <s v="Call_7469"/>
    <s v="C0004"/>
    <n v="100"/>
    <n v="1.6666666666666667"/>
    <x v="0"/>
    <x v="3"/>
    <d v="2023-03-11T00:00:00"/>
    <n v="44"/>
    <s v="Low"/>
    <n v="3.6"/>
    <x v="0"/>
    <x v="6"/>
    <x v="0"/>
    <n v="4"/>
  </r>
  <r>
    <s v="Call_7470"/>
    <s v="C0003"/>
    <n v="93"/>
    <n v="1.55"/>
    <x v="0"/>
    <x v="2"/>
    <d v="2023-03-11T00:00:00"/>
    <n v="132"/>
    <s v="High"/>
    <n v="3.7"/>
    <x v="0"/>
    <x v="6"/>
    <x v="0"/>
    <n v="4"/>
  </r>
  <r>
    <s v="Call_7471"/>
    <s v="C0005"/>
    <n v="84"/>
    <n v="1.4"/>
    <x v="0"/>
    <x v="0"/>
    <d v="2023-03-11T00:00:00"/>
    <n v="54"/>
    <s v="Medium"/>
    <n v="4.2"/>
    <x v="0"/>
    <x v="6"/>
    <x v="0"/>
    <n v="4"/>
  </r>
  <r>
    <s v="Call_7472"/>
    <s v="C0001"/>
    <n v="56"/>
    <n v="0.93333333333333335"/>
    <x v="1"/>
    <x v="4"/>
    <d v="2023-03-11T00:00:00"/>
    <n v="129"/>
    <s v="High"/>
    <n v="2.1"/>
    <x v="0"/>
    <x v="6"/>
    <x v="2"/>
    <n v="2"/>
  </r>
  <r>
    <s v="Call_7473"/>
    <s v="C0001"/>
    <n v="63"/>
    <n v="1.05"/>
    <x v="0"/>
    <x v="3"/>
    <d v="2023-03-11T00:00:00"/>
    <n v="42"/>
    <s v="Low"/>
    <n v="4"/>
    <x v="0"/>
    <x v="6"/>
    <x v="0"/>
    <n v="4"/>
  </r>
  <r>
    <s v="Call_7474"/>
    <s v="C0009"/>
    <n v="83"/>
    <n v="1.3833333333333333"/>
    <x v="0"/>
    <x v="3"/>
    <d v="2023-03-11T00:00:00"/>
    <n v="42"/>
    <s v="Low"/>
    <n v="4.2"/>
    <x v="0"/>
    <x v="6"/>
    <x v="0"/>
    <n v="4"/>
  </r>
  <r>
    <s v="Call_7475"/>
    <s v="C0013"/>
    <n v="134"/>
    <n v="2.2333333333333334"/>
    <x v="0"/>
    <x v="0"/>
    <d v="2023-03-11T00:00:00"/>
    <n v="180"/>
    <s v="Very High"/>
    <n v="3.1"/>
    <x v="0"/>
    <x v="6"/>
    <x v="1"/>
    <n v="3"/>
  </r>
  <r>
    <s v="Call_7476"/>
    <s v="C0011"/>
    <n v="73"/>
    <n v="1.2166666666666666"/>
    <x v="0"/>
    <x v="3"/>
    <d v="2023-03-12T00:00:00"/>
    <n v="34"/>
    <s v="Low"/>
    <n v="4.8"/>
    <x v="0"/>
    <x v="0"/>
    <x v="0"/>
    <n v="5"/>
  </r>
  <r>
    <s v="Call_7477"/>
    <s v="C0008"/>
    <n v="6"/>
    <n v="0.1"/>
    <x v="3"/>
    <x v="4"/>
    <d v="2023-03-12T00:00:00"/>
    <n v="29"/>
    <s v="Low"/>
    <n v="4.7"/>
    <x v="0"/>
    <x v="0"/>
    <x v="4"/>
    <n v="5"/>
  </r>
  <r>
    <s v="Call_7478"/>
    <s v="C0012"/>
    <n v="46"/>
    <n v="0.76666666666666672"/>
    <x v="1"/>
    <x v="1"/>
    <d v="2023-03-12T00:00:00"/>
    <n v="165"/>
    <s v="Very High"/>
    <n v="3.3"/>
    <x v="0"/>
    <x v="0"/>
    <x v="2"/>
    <n v="3"/>
  </r>
  <r>
    <s v="Call_7479"/>
    <s v="C0008"/>
    <n v="121"/>
    <n v="2.0166666666666666"/>
    <x v="0"/>
    <x v="3"/>
    <d v="2023-03-13T00:00:00"/>
    <n v="32"/>
    <s v="Low"/>
    <n v="3.7"/>
    <x v="0"/>
    <x v="1"/>
    <x v="1"/>
    <n v="4"/>
  </r>
  <r>
    <s v="Call_7480"/>
    <s v="C0001"/>
    <n v="61"/>
    <n v="1.0166666666666666"/>
    <x v="0"/>
    <x v="2"/>
    <d v="2023-03-13T00:00:00"/>
    <n v="160"/>
    <s v="Very High"/>
    <n v="4.9000000000000004"/>
    <x v="0"/>
    <x v="1"/>
    <x v="0"/>
    <n v="5"/>
  </r>
  <r>
    <s v="Call_7481"/>
    <s v="C0013"/>
    <n v="144"/>
    <n v="2.4"/>
    <x v="0"/>
    <x v="0"/>
    <d v="2023-03-13T00:00:00"/>
    <n v="140"/>
    <s v="High"/>
    <n v="3.5"/>
    <x v="0"/>
    <x v="1"/>
    <x v="1"/>
    <n v="4"/>
  </r>
  <r>
    <s v="Call_7482"/>
    <s v="C0012"/>
    <n v="145"/>
    <n v="2.4166666666666665"/>
    <x v="0"/>
    <x v="0"/>
    <d v="2023-03-13T00:00:00"/>
    <n v="136"/>
    <s v="High"/>
    <n v="4.4000000000000004"/>
    <x v="0"/>
    <x v="1"/>
    <x v="1"/>
    <n v="4"/>
  </r>
  <r>
    <s v="Call_7483"/>
    <s v="C0005"/>
    <n v="85"/>
    <n v="1.4166666666666667"/>
    <x v="0"/>
    <x v="4"/>
    <d v="2023-03-13T00:00:00"/>
    <n v="66"/>
    <s v="Medium"/>
    <n v="2.8"/>
    <x v="0"/>
    <x v="1"/>
    <x v="0"/>
    <n v="3"/>
  </r>
  <r>
    <s v="Call_7484"/>
    <s v="C0012"/>
    <n v="13"/>
    <n v="0.21666666666666667"/>
    <x v="3"/>
    <x v="2"/>
    <d v="2023-03-14T00:00:00"/>
    <n v="63"/>
    <s v="Medium"/>
    <n v="4.0999999999999996"/>
    <x v="0"/>
    <x v="2"/>
    <x v="3"/>
    <n v="4"/>
  </r>
  <r>
    <s v="Call_7485"/>
    <s v="C0003"/>
    <n v="142"/>
    <n v="2.3666666666666667"/>
    <x v="0"/>
    <x v="3"/>
    <d v="2023-03-14T00:00:00"/>
    <n v="44"/>
    <s v="Low"/>
    <n v="3.5"/>
    <x v="0"/>
    <x v="2"/>
    <x v="1"/>
    <n v="4"/>
  </r>
  <r>
    <s v="Call_7486"/>
    <s v="C0013"/>
    <n v="28"/>
    <n v="0.46666666666666667"/>
    <x v="2"/>
    <x v="1"/>
    <d v="2023-03-14T00:00:00"/>
    <n v="78"/>
    <s v="Medium"/>
    <n v="3.8"/>
    <x v="0"/>
    <x v="2"/>
    <x v="3"/>
    <n v="4"/>
  </r>
  <r>
    <s v="Call_7487"/>
    <s v="C0013"/>
    <n v="119"/>
    <n v="1.9833333333333334"/>
    <x v="0"/>
    <x v="3"/>
    <d v="2023-03-14T00:00:00"/>
    <n v="20"/>
    <s v="Low"/>
    <n v="3.9"/>
    <x v="0"/>
    <x v="2"/>
    <x v="0"/>
    <n v="4"/>
  </r>
  <r>
    <s v="Call_7488"/>
    <s v="C0008"/>
    <n v="65"/>
    <n v="1.0833333333333333"/>
    <x v="0"/>
    <x v="4"/>
    <d v="2023-03-14T00:00:00"/>
    <n v="84"/>
    <s v="Medium"/>
    <n v="2.5"/>
    <x v="0"/>
    <x v="2"/>
    <x v="0"/>
    <n v="3"/>
  </r>
  <r>
    <s v="Call_7489"/>
    <s v="C0002"/>
    <n v="68"/>
    <n v="1.1333333333333333"/>
    <x v="0"/>
    <x v="4"/>
    <d v="2023-03-14T00:00:00"/>
    <n v="32"/>
    <s v="Low"/>
    <n v="4.9000000000000004"/>
    <x v="0"/>
    <x v="2"/>
    <x v="0"/>
    <n v="5"/>
  </r>
  <r>
    <s v="Call_7490"/>
    <s v="C0009"/>
    <n v="72"/>
    <n v="1.2"/>
    <x v="0"/>
    <x v="1"/>
    <d v="2023-03-14T00:00:00"/>
    <n v="132"/>
    <s v="High"/>
    <n v="3.4"/>
    <x v="0"/>
    <x v="2"/>
    <x v="0"/>
    <n v="3"/>
  </r>
  <r>
    <s v="Call_7491"/>
    <s v="C0009"/>
    <n v="63"/>
    <n v="1.05"/>
    <x v="0"/>
    <x v="0"/>
    <d v="2023-03-14T00:00:00"/>
    <n v="105"/>
    <s v="High"/>
    <n v="3.3"/>
    <x v="0"/>
    <x v="2"/>
    <x v="0"/>
    <n v="3"/>
  </r>
  <r>
    <s v="Call_7492"/>
    <s v="C0004"/>
    <n v="139"/>
    <n v="2.3166666666666669"/>
    <x v="0"/>
    <x v="3"/>
    <d v="2023-03-15T00:00:00"/>
    <n v="48"/>
    <s v="Low"/>
    <n v="4.7"/>
    <x v="0"/>
    <x v="3"/>
    <x v="1"/>
    <n v="5"/>
  </r>
  <r>
    <s v="Call_7493"/>
    <s v="C0013"/>
    <n v="59"/>
    <n v="0.98333333333333328"/>
    <x v="1"/>
    <x v="3"/>
    <d v="2023-03-15T00:00:00"/>
    <n v="64"/>
    <s v="Medium"/>
    <n v="4"/>
    <x v="0"/>
    <x v="3"/>
    <x v="2"/>
    <n v="4"/>
  </r>
  <r>
    <s v="Call_7494"/>
    <s v="C0006"/>
    <n v="138"/>
    <n v="2.2999999999999998"/>
    <x v="0"/>
    <x v="0"/>
    <d v="2023-03-15T00:00:00"/>
    <n v="44"/>
    <s v="Low"/>
    <n v="3.8"/>
    <x v="0"/>
    <x v="3"/>
    <x v="1"/>
    <n v="4"/>
  </r>
  <r>
    <s v="Call_7495"/>
    <s v="C0004"/>
    <n v="47"/>
    <n v="0.78333333333333333"/>
    <x v="1"/>
    <x v="1"/>
    <d v="2023-03-15T00:00:00"/>
    <n v="120"/>
    <s v="High"/>
    <n v="3.1"/>
    <x v="0"/>
    <x v="3"/>
    <x v="2"/>
    <n v="3"/>
  </r>
  <r>
    <s v="Call_7496"/>
    <s v="C0006"/>
    <n v="74"/>
    <n v="1.2333333333333334"/>
    <x v="0"/>
    <x v="1"/>
    <d v="2023-03-15T00:00:00"/>
    <n v="144"/>
    <s v="High"/>
    <n v="4.8"/>
    <x v="0"/>
    <x v="3"/>
    <x v="0"/>
    <n v="5"/>
  </r>
  <r>
    <s v="Call_7497"/>
    <s v="C0009"/>
    <n v="65"/>
    <n v="1.0833333333333333"/>
    <x v="0"/>
    <x v="1"/>
    <d v="2023-03-15T00:00:00"/>
    <n v="87"/>
    <s v="Medium"/>
    <n v="2.7"/>
    <x v="0"/>
    <x v="3"/>
    <x v="0"/>
    <n v="3"/>
  </r>
  <r>
    <s v="Call_7498"/>
    <s v="C0011"/>
    <n v="123"/>
    <n v="2.0499999999999998"/>
    <x v="0"/>
    <x v="4"/>
    <d v="2023-03-15T00:00:00"/>
    <n v="36"/>
    <s v="Low"/>
    <n v="3.6"/>
    <x v="0"/>
    <x v="3"/>
    <x v="1"/>
    <n v="4"/>
  </r>
  <r>
    <s v="Call_7499"/>
    <s v="C0009"/>
    <n v="90"/>
    <n v="1.5"/>
    <x v="0"/>
    <x v="3"/>
    <d v="2023-03-16T00:00:00"/>
    <n v="72"/>
    <s v="Medium"/>
    <n v="4.7"/>
    <x v="0"/>
    <x v="4"/>
    <x v="0"/>
    <n v="5"/>
  </r>
  <r>
    <s v="Call_7500"/>
    <s v="C0001"/>
    <n v="127"/>
    <n v="2.1166666666666667"/>
    <x v="0"/>
    <x v="0"/>
    <d v="2023-03-16T00:00:00"/>
    <n v="150"/>
    <s v="High"/>
    <n v="4.4000000000000004"/>
    <x v="0"/>
    <x v="4"/>
    <x v="1"/>
    <n v="4"/>
  </r>
  <r>
    <s v="Call_7501"/>
    <s v="C0014"/>
    <n v="60"/>
    <n v="1"/>
    <x v="1"/>
    <x v="1"/>
    <d v="2023-03-16T00:00:00"/>
    <n v="68"/>
    <s v="Medium"/>
    <n v="4.3"/>
    <x v="0"/>
    <x v="4"/>
    <x v="2"/>
    <n v="4"/>
  </r>
  <r>
    <s v="Call_7502"/>
    <s v="C0004"/>
    <n v="94"/>
    <n v="1.5666666666666667"/>
    <x v="0"/>
    <x v="0"/>
    <d v="2023-03-16T00:00:00"/>
    <n v="99"/>
    <s v="Medium"/>
    <n v="4.9000000000000004"/>
    <x v="0"/>
    <x v="4"/>
    <x v="0"/>
    <n v="5"/>
  </r>
  <r>
    <s v="Call_7503"/>
    <s v="C0011"/>
    <n v="54"/>
    <n v="0.9"/>
    <x v="1"/>
    <x v="1"/>
    <d v="2023-03-16T00:00:00"/>
    <n v="26"/>
    <s v="Low"/>
    <n v="4.8"/>
    <x v="0"/>
    <x v="4"/>
    <x v="2"/>
    <n v="5"/>
  </r>
  <r>
    <s v="Call_7504"/>
    <s v="C0009"/>
    <n v="104"/>
    <n v="1.7333333333333334"/>
    <x v="0"/>
    <x v="1"/>
    <d v="2023-03-16T00:00:00"/>
    <n v="88"/>
    <s v="Medium"/>
    <n v="3.2"/>
    <x v="0"/>
    <x v="4"/>
    <x v="0"/>
    <n v="3"/>
  </r>
  <r>
    <s v="Call_7505"/>
    <s v="C0007"/>
    <n v="100"/>
    <n v="1.6666666666666667"/>
    <x v="0"/>
    <x v="1"/>
    <d v="2023-03-16T00:00:00"/>
    <n v="124"/>
    <s v="High"/>
    <n v="3.4"/>
    <x v="0"/>
    <x v="4"/>
    <x v="0"/>
    <n v="3"/>
  </r>
  <r>
    <s v="Call_7506"/>
    <s v="C0006"/>
    <n v="84"/>
    <n v="1.4"/>
    <x v="0"/>
    <x v="1"/>
    <d v="2023-03-16T00:00:00"/>
    <n v="72"/>
    <s v="Medium"/>
    <n v="3.5"/>
    <x v="0"/>
    <x v="4"/>
    <x v="0"/>
    <n v="4"/>
  </r>
  <r>
    <s v="Call_7507"/>
    <s v="C0003"/>
    <n v="92"/>
    <n v="1.5333333333333334"/>
    <x v="0"/>
    <x v="2"/>
    <d v="2023-03-17T00:00:00"/>
    <n v="125"/>
    <s v="High"/>
    <n v="4.9000000000000004"/>
    <x v="0"/>
    <x v="5"/>
    <x v="0"/>
    <n v="5"/>
  </r>
  <r>
    <s v="Call_7508"/>
    <s v="C0010"/>
    <n v="64"/>
    <n v="1.0666666666666667"/>
    <x v="0"/>
    <x v="0"/>
    <d v="2023-03-17T00:00:00"/>
    <n v="22"/>
    <s v="Low"/>
    <n v="4.0999999999999996"/>
    <x v="0"/>
    <x v="5"/>
    <x v="0"/>
    <n v="4"/>
  </r>
  <r>
    <s v="Call_7509"/>
    <s v="C0005"/>
    <n v="89"/>
    <n v="1.4833333333333334"/>
    <x v="0"/>
    <x v="3"/>
    <d v="2023-03-18T00:00:00"/>
    <n v="70"/>
    <s v="Medium"/>
    <n v="4.9000000000000004"/>
    <x v="0"/>
    <x v="6"/>
    <x v="0"/>
    <n v="5"/>
  </r>
  <r>
    <s v="Call_7510"/>
    <s v="C0015"/>
    <n v="40"/>
    <n v="0.66666666666666663"/>
    <x v="1"/>
    <x v="1"/>
    <d v="2023-03-18T00:00:00"/>
    <n v="24"/>
    <s v="Low"/>
    <n v="4.3"/>
    <x v="0"/>
    <x v="6"/>
    <x v="2"/>
    <n v="4"/>
  </r>
  <r>
    <s v="Call_7511"/>
    <s v="C0013"/>
    <n v="75"/>
    <n v="1.25"/>
    <x v="0"/>
    <x v="4"/>
    <d v="2023-03-18T00:00:00"/>
    <n v="32"/>
    <s v="Low"/>
    <n v="4.0999999999999996"/>
    <x v="0"/>
    <x v="6"/>
    <x v="0"/>
    <n v="4"/>
  </r>
  <r>
    <s v="Call_7512"/>
    <s v="C0001"/>
    <n v="106"/>
    <n v="1.7666666666666666"/>
    <x v="0"/>
    <x v="2"/>
    <d v="2023-03-18T00:00:00"/>
    <n v="112"/>
    <s v="High"/>
    <n v="4.4000000000000004"/>
    <x v="0"/>
    <x v="6"/>
    <x v="0"/>
    <n v="4"/>
  </r>
  <r>
    <s v="Call_7513"/>
    <s v="C0010"/>
    <n v="58"/>
    <n v="0.96666666666666667"/>
    <x v="1"/>
    <x v="1"/>
    <d v="2023-03-19T00:00:00"/>
    <n v="43"/>
    <s v="Low"/>
    <n v="4.5"/>
    <x v="0"/>
    <x v="0"/>
    <x v="2"/>
    <n v="5"/>
  </r>
  <r>
    <s v="Call_7514"/>
    <s v="C0006"/>
    <n v="84"/>
    <n v="1.4"/>
    <x v="0"/>
    <x v="2"/>
    <d v="2023-03-19T00:00:00"/>
    <n v="22"/>
    <s v="Low"/>
    <n v="3.5"/>
    <x v="0"/>
    <x v="0"/>
    <x v="0"/>
    <n v="4"/>
  </r>
  <r>
    <s v="Call_7515"/>
    <s v="C0009"/>
    <n v="140"/>
    <n v="2.3333333333333335"/>
    <x v="0"/>
    <x v="2"/>
    <d v="2023-03-19T00:00:00"/>
    <n v="93"/>
    <s v="Medium"/>
    <n v="4.4000000000000004"/>
    <x v="0"/>
    <x v="0"/>
    <x v="1"/>
    <n v="4"/>
  </r>
  <r>
    <s v="Call_7516"/>
    <s v="C0010"/>
    <n v="67"/>
    <n v="1.1166666666666667"/>
    <x v="0"/>
    <x v="2"/>
    <d v="2023-03-19T00:00:00"/>
    <n v="45"/>
    <s v="Low"/>
    <n v="3.5"/>
    <x v="0"/>
    <x v="0"/>
    <x v="0"/>
    <n v="4"/>
  </r>
  <r>
    <s v="Call_7517"/>
    <s v="C0004"/>
    <n v="126"/>
    <n v="2.1"/>
    <x v="0"/>
    <x v="2"/>
    <d v="2023-03-20T00:00:00"/>
    <n v="96"/>
    <s v="Medium"/>
    <n v="3.8"/>
    <x v="0"/>
    <x v="1"/>
    <x v="1"/>
    <n v="4"/>
  </r>
  <r>
    <s v="Call_7518"/>
    <s v="C0004"/>
    <n v="89"/>
    <n v="1.4833333333333334"/>
    <x v="0"/>
    <x v="1"/>
    <d v="2023-03-20T00:00:00"/>
    <n v="96"/>
    <s v="Medium"/>
    <n v="3.3"/>
    <x v="0"/>
    <x v="1"/>
    <x v="0"/>
    <n v="3"/>
  </r>
  <r>
    <s v="Call_7519"/>
    <s v="C0005"/>
    <n v="56"/>
    <n v="0.93333333333333335"/>
    <x v="1"/>
    <x v="0"/>
    <d v="2023-03-20T00:00:00"/>
    <n v="31"/>
    <s v="Low"/>
    <n v="4.4000000000000004"/>
    <x v="0"/>
    <x v="1"/>
    <x v="2"/>
    <n v="4"/>
  </r>
  <r>
    <s v="Call_7520"/>
    <s v="C0011"/>
    <n v="48"/>
    <n v="0.8"/>
    <x v="1"/>
    <x v="1"/>
    <d v="2023-03-20T00:00:00"/>
    <n v="200"/>
    <s v="Very High"/>
    <n v="3.9"/>
    <x v="0"/>
    <x v="1"/>
    <x v="2"/>
    <n v="4"/>
  </r>
  <r>
    <s v="Call_7521"/>
    <s v="C0004"/>
    <n v="55"/>
    <n v="0.91666666666666663"/>
    <x v="1"/>
    <x v="0"/>
    <d v="2023-03-20T00:00:00"/>
    <n v="99"/>
    <s v="Medium"/>
    <n v="2.7"/>
    <x v="0"/>
    <x v="1"/>
    <x v="2"/>
    <n v="3"/>
  </r>
  <r>
    <s v="Call_7522"/>
    <s v="C0014"/>
    <n v="88"/>
    <n v="1.4666666666666666"/>
    <x v="0"/>
    <x v="4"/>
    <d v="2023-03-20T00:00:00"/>
    <n v="144"/>
    <s v="High"/>
    <n v="2.9"/>
    <x v="0"/>
    <x v="1"/>
    <x v="0"/>
    <n v="3"/>
  </r>
  <r>
    <s v="Call_7523"/>
    <s v="C0005"/>
    <n v="102"/>
    <n v="1.7"/>
    <x v="0"/>
    <x v="2"/>
    <d v="2023-03-21T00:00:00"/>
    <n v="81"/>
    <s v="Medium"/>
    <n v="4"/>
    <x v="0"/>
    <x v="2"/>
    <x v="0"/>
    <n v="4"/>
  </r>
  <r>
    <s v="Call_7524"/>
    <s v="C0014"/>
    <n v="155"/>
    <n v="2.5833333333333335"/>
    <x v="0"/>
    <x v="4"/>
    <d v="2023-03-21T00:00:00"/>
    <n v="70"/>
    <s v="Medium"/>
    <n v="4.4000000000000004"/>
    <x v="0"/>
    <x v="2"/>
    <x v="1"/>
    <n v="4"/>
  </r>
  <r>
    <s v="Call_7525"/>
    <s v="C0004"/>
    <n v="63"/>
    <n v="1.05"/>
    <x v="0"/>
    <x v="4"/>
    <d v="2023-03-21T00:00:00"/>
    <n v="148"/>
    <s v="High"/>
    <n v="5"/>
    <x v="0"/>
    <x v="2"/>
    <x v="0"/>
    <n v="5"/>
  </r>
  <r>
    <s v="Call_7526"/>
    <s v="C0007"/>
    <n v="59"/>
    <n v="0.98333333333333328"/>
    <x v="1"/>
    <x v="2"/>
    <d v="2023-03-21T00:00:00"/>
    <n v="215"/>
    <s v="Very High"/>
    <n v="4.0999999999999996"/>
    <x v="0"/>
    <x v="2"/>
    <x v="2"/>
    <n v="4"/>
  </r>
  <r>
    <s v="Call_7527"/>
    <s v="C0007"/>
    <n v="144"/>
    <n v="2.4"/>
    <x v="0"/>
    <x v="1"/>
    <d v="2023-03-21T00:00:00"/>
    <n v="124"/>
    <s v="High"/>
    <n v="4.4000000000000004"/>
    <x v="0"/>
    <x v="2"/>
    <x v="1"/>
    <n v="4"/>
  </r>
  <r>
    <s v="Call_7528"/>
    <s v="C0006"/>
    <n v="113"/>
    <n v="1.8833333333333333"/>
    <x v="0"/>
    <x v="3"/>
    <d v="2023-03-21T00:00:00"/>
    <n v="168"/>
    <s v="Very High"/>
    <n v="4.0999999999999996"/>
    <x v="0"/>
    <x v="2"/>
    <x v="0"/>
    <n v="4"/>
  </r>
  <r>
    <s v="Call_7529"/>
    <s v="C0012"/>
    <n v="154"/>
    <n v="2.5666666666666669"/>
    <x v="0"/>
    <x v="0"/>
    <d v="2023-03-21T00:00:00"/>
    <n v="90"/>
    <s v="Medium"/>
    <n v="4.5"/>
    <x v="0"/>
    <x v="2"/>
    <x v="1"/>
    <n v="5"/>
  </r>
  <r>
    <s v="Call_7530"/>
    <s v="C0012"/>
    <n v="58"/>
    <n v="0.96666666666666667"/>
    <x v="1"/>
    <x v="2"/>
    <d v="2023-03-22T00:00:00"/>
    <n v="176"/>
    <s v="Very High"/>
    <n v="4.2"/>
    <x v="0"/>
    <x v="3"/>
    <x v="2"/>
    <n v="4"/>
  </r>
  <r>
    <s v="Call_7531"/>
    <s v="C0011"/>
    <n v="63"/>
    <n v="1.05"/>
    <x v="0"/>
    <x v="4"/>
    <d v="2023-03-22T00:00:00"/>
    <n v="87"/>
    <s v="Medium"/>
    <n v="4.5999999999999996"/>
    <x v="0"/>
    <x v="3"/>
    <x v="0"/>
    <n v="5"/>
  </r>
  <r>
    <s v="Call_7532"/>
    <s v="C0009"/>
    <n v="59"/>
    <n v="0.98333333333333328"/>
    <x v="1"/>
    <x v="1"/>
    <d v="2023-03-22T00:00:00"/>
    <n v="128"/>
    <s v="High"/>
    <n v="4.5"/>
    <x v="0"/>
    <x v="3"/>
    <x v="2"/>
    <n v="5"/>
  </r>
  <r>
    <s v="Call_7533"/>
    <s v="C0008"/>
    <n v="129"/>
    <n v="2.15"/>
    <x v="0"/>
    <x v="4"/>
    <d v="2023-03-22T00:00:00"/>
    <n v="120"/>
    <s v="High"/>
    <n v="4.0999999999999996"/>
    <x v="0"/>
    <x v="3"/>
    <x v="1"/>
    <n v="4"/>
  </r>
  <r>
    <s v="Call_7534"/>
    <s v="C0002"/>
    <n v="101"/>
    <n v="1.6833333333333333"/>
    <x v="0"/>
    <x v="3"/>
    <d v="2023-03-22T00:00:00"/>
    <n v="130"/>
    <s v="High"/>
    <n v="4.8"/>
    <x v="0"/>
    <x v="3"/>
    <x v="0"/>
    <n v="5"/>
  </r>
  <r>
    <s v="Call_7535"/>
    <s v="C0015"/>
    <n v="154"/>
    <n v="2.5666666666666669"/>
    <x v="0"/>
    <x v="1"/>
    <d v="2023-03-22T00:00:00"/>
    <n v="172"/>
    <s v="Very High"/>
    <n v="3.1"/>
    <x v="0"/>
    <x v="3"/>
    <x v="1"/>
    <n v="3"/>
  </r>
  <r>
    <s v="Call_7536"/>
    <s v="C0010"/>
    <n v="131"/>
    <n v="2.1833333333333331"/>
    <x v="0"/>
    <x v="1"/>
    <d v="2023-03-22T00:00:00"/>
    <n v="58"/>
    <s v="Medium"/>
    <n v="4.9000000000000004"/>
    <x v="0"/>
    <x v="3"/>
    <x v="1"/>
    <n v="5"/>
  </r>
  <r>
    <s v="Call_7537"/>
    <s v="C0007"/>
    <n v="111"/>
    <n v="1.85"/>
    <x v="0"/>
    <x v="3"/>
    <d v="2023-03-23T00:00:00"/>
    <n v="86"/>
    <s v="Medium"/>
    <n v="4.0999999999999996"/>
    <x v="0"/>
    <x v="4"/>
    <x v="0"/>
    <n v="4"/>
  </r>
  <r>
    <s v="Call_7538"/>
    <s v="C0012"/>
    <n v="142"/>
    <n v="2.3666666666666667"/>
    <x v="0"/>
    <x v="3"/>
    <d v="2023-03-24T00:00:00"/>
    <n v="31"/>
    <s v="Low"/>
    <n v="4.4000000000000004"/>
    <x v="0"/>
    <x v="5"/>
    <x v="1"/>
    <n v="4"/>
  </r>
  <r>
    <s v="Call_7539"/>
    <s v="C0005"/>
    <n v="93"/>
    <n v="1.55"/>
    <x v="0"/>
    <x v="4"/>
    <d v="2023-03-24T00:00:00"/>
    <n v="72"/>
    <s v="Medium"/>
    <n v="4.4000000000000004"/>
    <x v="0"/>
    <x v="5"/>
    <x v="0"/>
    <n v="4"/>
  </r>
  <r>
    <s v="Call_7540"/>
    <s v="C0012"/>
    <n v="125"/>
    <n v="2.0833333333333335"/>
    <x v="0"/>
    <x v="0"/>
    <d v="2023-03-25T00:00:00"/>
    <n v="27"/>
    <s v="Low"/>
    <n v="3"/>
    <x v="0"/>
    <x v="6"/>
    <x v="1"/>
    <n v="3"/>
  </r>
  <r>
    <s v="Call_7541"/>
    <s v="C0008"/>
    <n v="76"/>
    <n v="1.2666666666666666"/>
    <x v="0"/>
    <x v="1"/>
    <d v="2023-03-25T00:00:00"/>
    <n v="110"/>
    <s v="High"/>
    <n v="4.4000000000000004"/>
    <x v="0"/>
    <x v="6"/>
    <x v="0"/>
    <n v="4"/>
  </r>
  <r>
    <s v="Call_7542"/>
    <s v="C0006"/>
    <n v="69"/>
    <n v="1.1499999999999999"/>
    <x v="0"/>
    <x v="4"/>
    <d v="2023-03-25T00:00:00"/>
    <n v="126"/>
    <s v="High"/>
    <n v="3.7"/>
    <x v="0"/>
    <x v="6"/>
    <x v="0"/>
    <n v="4"/>
  </r>
  <r>
    <s v="Call_7543"/>
    <s v="C0009"/>
    <n v="149"/>
    <n v="2.4833333333333334"/>
    <x v="0"/>
    <x v="0"/>
    <d v="2023-03-25T00:00:00"/>
    <n v="60"/>
    <s v="Medium"/>
    <n v="3.9"/>
    <x v="0"/>
    <x v="6"/>
    <x v="1"/>
    <n v="4"/>
  </r>
  <r>
    <s v="Call_7544"/>
    <s v="C0012"/>
    <n v="57"/>
    <n v="0.95"/>
    <x v="1"/>
    <x v="4"/>
    <d v="2023-03-25T00:00:00"/>
    <n v="35"/>
    <s v="Low"/>
    <n v="3.5"/>
    <x v="0"/>
    <x v="6"/>
    <x v="2"/>
    <n v="4"/>
  </r>
  <r>
    <s v="Call_7545"/>
    <s v="C0004"/>
    <n v="113"/>
    <n v="1.8833333333333333"/>
    <x v="0"/>
    <x v="1"/>
    <d v="2023-03-25T00:00:00"/>
    <n v="81"/>
    <s v="Medium"/>
    <n v="3.5"/>
    <x v="0"/>
    <x v="6"/>
    <x v="0"/>
    <n v="4"/>
  </r>
  <r>
    <s v="Call_7546"/>
    <s v="C0003"/>
    <n v="160"/>
    <n v="2.6666666666666665"/>
    <x v="0"/>
    <x v="0"/>
    <d v="2023-03-25T00:00:00"/>
    <n v="116"/>
    <s v="High"/>
    <n v="3.4"/>
    <x v="0"/>
    <x v="6"/>
    <x v="1"/>
    <n v="3"/>
  </r>
  <r>
    <s v="Call_7547"/>
    <s v="C0011"/>
    <n v="158"/>
    <n v="2.6333333333333333"/>
    <x v="0"/>
    <x v="2"/>
    <d v="2023-03-25T00:00:00"/>
    <n v="60"/>
    <s v="Medium"/>
    <n v="4.5"/>
    <x v="0"/>
    <x v="6"/>
    <x v="1"/>
    <n v="5"/>
  </r>
  <r>
    <s v="Call_7548"/>
    <s v="C0006"/>
    <n v="77"/>
    <n v="1.2833333333333334"/>
    <x v="0"/>
    <x v="0"/>
    <d v="2023-03-26T00:00:00"/>
    <n v="130"/>
    <s v="High"/>
    <n v="4.2"/>
    <x v="0"/>
    <x v="0"/>
    <x v="0"/>
    <n v="4"/>
  </r>
  <r>
    <s v="Call_7549"/>
    <s v="C0013"/>
    <n v="118"/>
    <n v="1.9666666666666666"/>
    <x v="0"/>
    <x v="3"/>
    <d v="2023-03-26T00:00:00"/>
    <n v="99"/>
    <s v="Medium"/>
    <n v="5"/>
    <x v="0"/>
    <x v="0"/>
    <x v="0"/>
    <n v="5"/>
  </r>
  <r>
    <s v="Call_7550"/>
    <s v="C0015"/>
    <n v="75"/>
    <n v="1.25"/>
    <x v="0"/>
    <x v="1"/>
    <d v="2023-03-26T00:00:00"/>
    <n v="135"/>
    <s v="High"/>
    <n v="4.7"/>
    <x v="0"/>
    <x v="0"/>
    <x v="0"/>
    <n v="5"/>
  </r>
  <r>
    <s v="Call_7551"/>
    <s v="C0004"/>
    <n v="103"/>
    <n v="1.7166666666666666"/>
    <x v="0"/>
    <x v="0"/>
    <d v="2023-03-26T00:00:00"/>
    <n v="42"/>
    <s v="Low"/>
    <n v="2.8"/>
    <x v="0"/>
    <x v="0"/>
    <x v="0"/>
    <n v="3"/>
  </r>
  <r>
    <s v="Call_7552"/>
    <s v="C0006"/>
    <n v="116"/>
    <n v="1.9333333333333333"/>
    <x v="0"/>
    <x v="3"/>
    <d v="2023-03-27T00:00:00"/>
    <n v="63"/>
    <s v="Medium"/>
    <n v="3.4"/>
    <x v="0"/>
    <x v="1"/>
    <x v="0"/>
    <n v="3"/>
  </r>
  <r>
    <s v="Call_7553"/>
    <s v="C0007"/>
    <n v="61"/>
    <n v="1.0166666666666666"/>
    <x v="0"/>
    <x v="2"/>
    <d v="2023-03-27T00:00:00"/>
    <n v="140"/>
    <s v="High"/>
    <n v="1.8"/>
    <x v="0"/>
    <x v="1"/>
    <x v="0"/>
    <n v="2"/>
  </r>
  <r>
    <s v="Call_7554"/>
    <s v="C0012"/>
    <n v="126"/>
    <n v="2.1"/>
    <x v="0"/>
    <x v="1"/>
    <d v="2023-03-27T00:00:00"/>
    <n v="128"/>
    <s v="High"/>
    <n v="4.2"/>
    <x v="0"/>
    <x v="1"/>
    <x v="1"/>
    <n v="4"/>
  </r>
  <r>
    <s v="Call_7555"/>
    <s v="C0002"/>
    <n v="141"/>
    <n v="2.35"/>
    <x v="0"/>
    <x v="4"/>
    <d v="2023-03-27T00:00:00"/>
    <n v="80"/>
    <s v="Medium"/>
    <n v="4.4000000000000004"/>
    <x v="0"/>
    <x v="1"/>
    <x v="1"/>
    <n v="4"/>
  </r>
  <r>
    <s v="Call_7556"/>
    <s v="C0011"/>
    <n v="95"/>
    <n v="1.5833333333333333"/>
    <x v="0"/>
    <x v="3"/>
    <d v="2023-03-27T00:00:00"/>
    <n v="28"/>
    <s v="Low"/>
    <n v="2.7"/>
    <x v="0"/>
    <x v="1"/>
    <x v="0"/>
    <n v="3"/>
  </r>
  <r>
    <s v="Call_7557"/>
    <s v="C0015"/>
    <n v="39"/>
    <n v="0.65"/>
    <x v="1"/>
    <x v="2"/>
    <d v="2023-03-28T00:00:00"/>
    <n v="81"/>
    <s v="Medium"/>
    <n v="5"/>
    <x v="0"/>
    <x v="2"/>
    <x v="2"/>
    <n v="5"/>
  </r>
  <r>
    <s v="Call_7558"/>
    <s v="C0004"/>
    <n v="127"/>
    <n v="2.1166666666666667"/>
    <x v="0"/>
    <x v="1"/>
    <d v="2023-03-28T00:00:00"/>
    <n v="99"/>
    <s v="Medium"/>
    <n v="3.9"/>
    <x v="0"/>
    <x v="2"/>
    <x v="1"/>
    <n v="4"/>
  </r>
  <r>
    <s v="Call_7559"/>
    <s v="C0007"/>
    <n v="78"/>
    <n v="1.3"/>
    <x v="0"/>
    <x v="1"/>
    <d v="2023-03-28T00:00:00"/>
    <n v="43"/>
    <s v="Low"/>
    <n v="3.8"/>
    <x v="0"/>
    <x v="2"/>
    <x v="0"/>
    <n v="4"/>
  </r>
  <r>
    <s v="Call_7560"/>
    <s v="C0013"/>
    <n v="40"/>
    <n v="0.66666666666666663"/>
    <x v="1"/>
    <x v="1"/>
    <d v="2023-03-28T00:00:00"/>
    <n v="34"/>
    <s v="Low"/>
    <n v="4.5999999999999996"/>
    <x v="0"/>
    <x v="2"/>
    <x v="2"/>
    <n v="5"/>
  </r>
  <r>
    <s v="Call_7561"/>
    <s v="C0007"/>
    <n v="56"/>
    <n v="0.93333333333333335"/>
    <x v="1"/>
    <x v="2"/>
    <d v="2023-03-28T00:00:00"/>
    <n v="225"/>
    <s v="Very High"/>
    <n v="4.5999999999999996"/>
    <x v="0"/>
    <x v="2"/>
    <x v="2"/>
    <n v="5"/>
  </r>
  <r>
    <s v="Call_7562"/>
    <s v="C0015"/>
    <n v="59"/>
    <n v="0.98333333333333328"/>
    <x v="1"/>
    <x v="4"/>
    <d v="2023-03-28T00:00:00"/>
    <n v="210"/>
    <s v="Very High"/>
    <n v="4.5"/>
    <x v="0"/>
    <x v="2"/>
    <x v="2"/>
    <n v="5"/>
  </r>
  <r>
    <s v="Call_7563"/>
    <s v="C0012"/>
    <n v="30"/>
    <n v="0.5"/>
    <x v="2"/>
    <x v="1"/>
    <d v="2023-03-28T00:00:00"/>
    <n v="168"/>
    <s v="Very High"/>
    <n v="4.2"/>
    <x v="0"/>
    <x v="2"/>
    <x v="3"/>
    <n v="4"/>
  </r>
  <r>
    <s v="Call_7564"/>
    <s v="C0013"/>
    <n v="63"/>
    <n v="1.05"/>
    <x v="0"/>
    <x v="0"/>
    <d v="2023-03-29T00:00:00"/>
    <n v="82"/>
    <s v="Medium"/>
    <n v="4.5"/>
    <x v="0"/>
    <x v="3"/>
    <x v="0"/>
    <n v="5"/>
  </r>
  <r>
    <s v="Call_7565"/>
    <s v="C0005"/>
    <n v="56"/>
    <n v="0.93333333333333335"/>
    <x v="1"/>
    <x v="3"/>
    <d v="2023-03-29T00:00:00"/>
    <n v="88"/>
    <s v="Medium"/>
    <n v="4.0999999999999996"/>
    <x v="0"/>
    <x v="3"/>
    <x v="2"/>
    <n v="4"/>
  </r>
  <r>
    <s v="Call_7566"/>
    <s v="C0008"/>
    <n v="95"/>
    <n v="1.5833333333333333"/>
    <x v="0"/>
    <x v="0"/>
    <d v="2023-03-29T00:00:00"/>
    <n v="111"/>
    <s v="High"/>
    <n v="3.3"/>
    <x v="0"/>
    <x v="3"/>
    <x v="0"/>
    <n v="3"/>
  </r>
  <r>
    <s v="Call_7567"/>
    <s v="C0001"/>
    <n v="128"/>
    <n v="2.1333333333333333"/>
    <x v="0"/>
    <x v="4"/>
    <d v="2023-03-29T00:00:00"/>
    <n v="60"/>
    <s v="Medium"/>
    <n v="3.8"/>
    <x v="0"/>
    <x v="3"/>
    <x v="1"/>
    <n v="4"/>
  </r>
  <r>
    <s v="Call_7568"/>
    <s v="C0011"/>
    <n v="49"/>
    <n v="0.81666666666666665"/>
    <x v="1"/>
    <x v="0"/>
    <d v="2023-03-29T00:00:00"/>
    <n v="80"/>
    <s v="Medium"/>
    <n v="3"/>
    <x v="0"/>
    <x v="3"/>
    <x v="2"/>
    <n v="3"/>
  </r>
  <r>
    <s v="Call_7569"/>
    <s v="C0001"/>
    <n v="89"/>
    <n v="1.4833333333333334"/>
    <x v="0"/>
    <x v="2"/>
    <d v="2023-03-31T00:00:00"/>
    <n v="90"/>
    <s v="Medium"/>
    <n v="4.5999999999999996"/>
    <x v="0"/>
    <x v="5"/>
    <x v="0"/>
    <n v="5"/>
  </r>
  <r>
    <s v="Call_7570"/>
    <s v="C0009"/>
    <n v="87"/>
    <n v="1.45"/>
    <x v="0"/>
    <x v="0"/>
    <d v="2023-03-31T00:00:00"/>
    <n v="225"/>
    <s v="Very High"/>
    <n v="2.9"/>
    <x v="0"/>
    <x v="5"/>
    <x v="0"/>
    <n v="3"/>
  </r>
  <r>
    <s v="Call_7571"/>
    <s v="C0003"/>
    <n v="60"/>
    <n v="1"/>
    <x v="1"/>
    <x v="1"/>
    <d v="2023-04-01T00:00:00"/>
    <n v="215"/>
    <s v="Very High"/>
    <n v="3.2"/>
    <x v="0"/>
    <x v="6"/>
    <x v="2"/>
    <n v="3"/>
  </r>
  <r>
    <s v="Call_7572"/>
    <s v="C0014"/>
    <n v="42"/>
    <n v="0.7"/>
    <x v="1"/>
    <x v="2"/>
    <d v="2023-04-01T00:00:00"/>
    <n v="45"/>
    <s v="Low"/>
    <n v="1.5"/>
    <x v="0"/>
    <x v="6"/>
    <x v="2"/>
    <n v="2"/>
  </r>
  <r>
    <s v="Call_7573"/>
    <s v="C0010"/>
    <n v="99"/>
    <n v="1.65"/>
    <x v="0"/>
    <x v="1"/>
    <d v="2023-04-01T00:00:00"/>
    <n v="74"/>
    <s v="Medium"/>
    <n v="4"/>
    <x v="0"/>
    <x v="6"/>
    <x v="0"/>
    <n v="4"/>
  </r>
  <r>
    <s v="Call_7574"/>
    <s v="C0005"/>
    <n v="20"/>
    <n v="0.33333333333333331"/>
    <x v="2"/>
    <x v="2"/>
    <d v="2023-04-01T00:00:00"/>
    <n v="60"/>
    <s v="Medium"/>
    <n v="3.6"/>
    <x v="0"/>
    <x v="6"/>
    <x v="3"/>
    <n v="4"/>
  </r>
  <r>
    <s v="Call_7575"/>
    <s v="C0013"/>
    <n v="65"/>
    <n v="1.0833333333333333"/>
    <x v="0"/>
    <x v="1"/>
    <d v="2023-04-01T00:00:00"/>
    <n v="64"/>
    <s v="Medium"/>
    <n v="3.7"/>
    <x v="0"/>
    <x v="6"/>
    <x v="0"/>
    <n v="4"/>
  </r>
  <r>
    <s v="Call_7576"/>
    <s v="C0012"/>
    <n v="71"/>
    <n v="1.1833333333333333"/>
    <x v="0"/>
    <x v="0"/>
    <d v="2023-04-02T00:00:00"/>
    <n v="110"/>
    <s v="High"/>
    <n v="4.8"/>
    <x v="0"/>
    <x v="0"/>
    <x v="0"/>
    <n v="5"/>
  </r>
  <r>
    <s v="Call_7577"/>
    <s v="C0004"/>
    <n v="95"/>
    <n v="1.5833333333333333"/>
    <x v="0"/>
    <x v="4"/>
    <d v="2023-04-02T00:00:00"/>
    <n v="52"/>
    <s v="Medium"/>
    <n v="1.2"/>
    <x v="0"/>
    <x v="0"/>
    <x v="0"/>
    <n v="1"/>
  </r>
  <r>
    <s v="Call_7578"/>
    <s v="C0005"/>
    <n v="81"/>
    <n v="1.35"/>
    <x v="0"/>
    <x v="3"/>
    <d v="2023-04-03T00:00:00"/>
    <n v="160"/>
    <s v="Very High"/>
    <n v="4.7"/>
    <x v="0"/>
    <x v="1"/>
    <x v="0"/>
    <n v="5"/>
  </r>
  <r>
    <s v="Call_7579"/>
    <s v="C0006"/>
    <n v="137"/>
    <n v="2.2833333333333332"/>
    <x v="0"/>
    <x v="3"/>
    <d v="2023-04-03T00:00:00"/>
    <n v="215"/>
    <s v="Very High"/>
    <n v="4.7"/>
    <x v="0"/>
    <x v="1"/>
    <x v="1"/>
    <n v="5"/>
  </r>
  <r>
    <s v="Call_7580"/>
    <s v="C0006"/>
    <n v="40"/>
    <n v="0.66666666666666663"/>
    <x v="1"/>
    <x v="4"/>
    <d v="2023-04-03T00:00:00"/>
    <n v="220"/>
    <s v="Very High"/>
    <n v="4.5"/>
    <x v="0"/>
    <x v="1"/>
    <x v="2"/>
    <n v="5"/>
  </r>
  <r>
    <s v="Call_7581"/>
    <s v="C0010"/>
    <n v="111"/>
    <n v="1.85"/>
    <x v="0"/>
    <x v="1"/>
    <d v="2023-04-04T00:00:00"/>
    <n v="175"/>
    <s v="Very High"/>
    <n v="3.5"/>
    <x v="0"/>
    <x v="2"/>
    <x v="0"/>
    <n v="4"/>
  </r>
  <r>
    <s v="Call_7582"/>
    <s v="C0012"/>
    <n v="106"/>
    <n v="1.7666666666666666"/>
    <x v="0"/>
    <x v="1"/>
    <d v="2023-04-04T00:00:00"/>
    <n v="145"/>
    <s v="High"/>
    <n v="4.0999999999999996"/>
    <x v="0"/>
    <x v="2"/>
    <x v="0"/>
    <n v="4"/>
  </r>
  <r>
    <s v="Call_7583"/>
    <s v="C0014"/>
    <n v="133"/>
    <n v="2.2166666666666668"/>
    <x v="0"/>
    <x v="2"/>
    <d v="2023-04-04T00:00:00"/>
    <n v="72"/>
    <s v="Medium"/>
    <n v="4.4000000000000004"/>
    <x v="0"/>
    <x v="2"/>
    <x v="1"/>
    <n v="4"/>
  </r>
  <r>
    <s v="Call_7584"/>
    <s v="C0007"/>
    <n v="38"/>
    <n v="0.6333333333333333"/>
    <x v="1"/>
    <x v="1"/>
    <d v="2023-04-05T00:00:00"/>
    <n v="81"/>
    <s v="Medium"/>
    <n v="3.6"/>
    <x v="0"/>
    <x v="3"/>
    <x v="2"/>
    <n v="4"/>
  </r>
  <r>
    <s v="Call_7585"/>
    <s v="C0015"/>
    <n v="130"/>
    <n v="2.1666666666666665"/>
    <x v="0"/>
    <x v="4"/>
    <d v="2023-04-05T00:00:00"/>
    <n v="54"/>
    <s v="Medium"/>
    <n v="4.0999999999999996"/>
    <x v="0"/>
    <x v="3"/>
    <x v="1"/>
    <n v="4"/>
  </r>
  <r>
    <s v="Call_7586"/>
    <s v="C0013"/>
    <n v="23"/>
    <n v="0.38333333333333336"/>
    <x v="2"/>
    <x v="2"/>
    <d v="2023-04-05T00:00:00"/>
    <n v="105"/>
    <s v="High"/>
    <n v="4.8"/>
    <x v="0"/>
    <x v="3"/>
    <x v="3"/>
    <n v="5"/>
  </r>
  <r>
    <s v="Call_7587"/>
    <s v="C0015"/>
    <n v="124"/>
    <n v="2.0666666666666669"/>
    <x v="0"/>
    <x v="1"/>
    <d v="2023-04-06T00:00:00"/>
    <n v="176"/>
    <s v="Very High"/>
    <n v="3.9"/>
    <x v="0"/>
    <x v="4"/>
    <x v="1"/>
    <n v="4"/>
  </r>
  <r>
    <s v="Call_7588"/>
    <s v="C0005"/>
    <n v="107"/>
    <n v="1.7833333333333334"/>
    <x v="0"/>
    <x v="1"/>
    <d v="2023-04-06T00:00:00"/>
    <n v="115"/>
    <s v="High"/>
    <n v="3.8"/>
    <x v="0"/>
    <x v="4"/>
    <x v="0"/>
    <n v="4"/>
  </r>
  <r>
    <s v="Call_7589"/>
    <s v="C0006"/>
    <n v="60"/>
    <n v="1"/>
    <x v="1"/>
    <x v="0"/>
    <d v="2023-04-06T00:00:00"/>
    <n v="116"/>
    <s v="High"/>
    <n v="3.9"/>
    <x v="0"/>
    <x v="4"/>
    <x v="2"/>
    <n v="4"/>
  </r>
  <r>
    <s v="Call_7590"/>
    <s v="C0006"/>
    <n v="158"/>
    <n v="2.6333333333333333"/>
    <x v="0"/>
    <x v="4"/>
    <d v="2023-04-06T00:00:00"/>
    <n v="100"/>
    <s v="Medium"/>
    <n v="4.0999999999999996"/>
    <x v="0"/>
    <x v="4"/>
    <x v="1"/>
    <n v="4"/>
  </r>
  <r>
    <s v="Call_7591"/>
    <s v="C0009"/>
    <n v="110"/>
    <n v="1.8333333333333333"/>
    <x v="0"/>
    <x v="4"/>
    <d v="2023-04-07T00:00:00"/>
    <n v="36"/>
    <s v="Low"/>
    <n v="2.2000000000000002"/>
    <x v="0"/>
    <x v="5"/>
    <x v="0"/>
    <n v="2"/>
  </r>
  <r>
    <s v="Call_7592"/>
    <s v="C0001"/>
    <n v="70"/>
    <n v="1.1666666666666667"/>
    <x v="0"/>
    <x v="4"/>
    <d v="2023-04-07T00:00:00"/>
    <n v="114"/>
    <s v="High"/>
    <n v="5"/>
    <x v="0"/>
    <x v="5"/>
    <x v="0"/>
    <n v="5"/>
  </r>
  <r>
    <s v="Call_7593"/>
    <s v="C0001"/>
    <n v="150"/>
    <n v="2.5"/>
    <x v="0"/>
    <x v="0"/>
    <d v="2023-04-07T00:00:00"/>
    <n v="24"/>
    <s v="Low"/>
    <n v="3.8"/>
    <x v="0"/>
    <x v="5"/>
    <x v="1"/>
    <n v="4"/>
  </r>
  <r>
    <s v="Call_7594"/>
    <s v="C0007"/>
    <n v="36"/>
    <n v="0.6"/>
    <x v="1"/>
    <x v="1"/>
    <d v="2023-04-07T00:00:00"/>
    <n v="135"/>
    <s v="High"/>
    <n v="4.5999999999999996"/>
    <x v="0"/>
    <x v="5"/>
    <x v="2"/>
    <n v="5"/>
  </r>
  <r>
    <s v="Call_7595"/>
    <s v="C0015"/>
    <n v="74"/>
    <n v="1.2333333333333334"/>
    <x v="0"/>
    <x v="1"/>
    <d v="2023-04-07T00:00:00"/>
    <n v="30"/>
    <s v="Low"/>
    <n v="4"/>
    <x v="0"/>
    <x v="5"/>
    <x v="0"/>
    <n v="4"/>
  </r>
  <r>
    <s v="Call_7596"/>
    <s v="C0004"/>
    <n v="75"/>
    <n v="1.25"/>
    <x v="0"/>
    <x v="1"/>
    <d v="2023-04-07T00:00:00"/>
    <n v="84"/>
    <s v="Medium"/>
    <n v="2.8"/>
    <x v="0"/>
    <x v="5"/>
    <x v="0"/>
    <n v="3"/>
  </r>
  <r>
    <s v="Call_7597"/>
    <s v="C0008"/>
    <n v="70"/>
    <n v="1.1666666666666667"/>
    <x v="0"/>
    <x v="3"/>
    <d v="2023-04-07T00:00:00"/>
    <n v="42"/>
    <s v="Low"/>
    <n v="4.4000000000000004"/>
    <x v="0"/>
    <x v="5"/>
    <x v="0"/>
    <n v="4"/>
  </r>
  <r>
    <s v="Call_7598"/>
    <s v="C0009"/>
    <n v="23"/>
    <n v="0.38333333333333336"/>
    <x v="2"/>
    <x v="4"/>
    <d v="2023-04-07T00:00:00"/>
    <n v="117"/>
    <s v="High"/>
    <n v="2.4"/>
    <x v="0"/>
    <x v="5"/>
    <x v="3"/>
    <n v="2"/>
  </r>
  <r>
    <s v="Call_7599"/>
    <s v="C0010"/>
    <n v="104"/>
    <n v="1.7333333333333334"/>
    <x v="0"/>
    <x v="2"/>
    <d v="2023-04-07T00:00:00"/>
    <n v="164"/>
    <s v="Very High"/>
    <n v="4"/>
    <x v="0"/>
    <x v="5"/>
    <x v="0"/>
    <n v="4"/>
  </r>
  <r>
    <s v="Call_7600"/>
    <s v="C0001"/>
    <n v="95"/>
    <n v="1.5833333333333333"/>
    <x v="0"/>
    <x v="3"/>
    <d v="2023-04-08T00:00:00"/>
    <n v="123"/>
    <s v="High"/>
    <n v="4.4000000000000004"/>
    <x v="0"/>
    <x v="6"/>
    <x v="0"/>
    <n v="4"/>
  </r>
  <r>
    <s v="Call_7601"/>
    <s v="C0011"/>
    <n v="49"/>
    <n v="0.81666666666666665"/>
    <x v="1"/>
    <x v="0"/>
    <d v="2023-04-08T00:00:00"/>
    <n v="172"/>
    <s v="Very High"/>
    <n v="2.9"/>
    <x v="0"/>
    <x v="6"/>
    <x v="2"/>
    <n v="3"/>
  </r>
  <r>
    <s v="Call_7602"/>
    <s v="C0012"/>
    <n v="8"/>
    <n v="0.13333333333333333"/>
    <x v="3"/>
    <x v="4"/>
    <d v="2023-04-08T00:00:00"/>
    <n v="20"/>
    <s v="Low"/>
    <n v="4.8"/>
    <x v="0"/>
    <x v="6"/>
    <x v="4"/>
    <n v="5"/>
  </r>
  <r>
    <s v="Call_7603"/>
    <s v="C0001"/>
    <n v="157"/>
    <n v="2.6166666666666667"/>
    <x v="0"/>
    <x v="0"/>
    <d v="2023-04-08T00:00:00"/>
    <n v="72"/>
    <s v="Medium"/>
    <n v="3.7"/>
    <x v="0"/>
    <x v="6"/>
    <x v="1"/>
    <n v="4"/>
  </r>
  <r>
    <s v="Call_7604"/>
    <s v="C0005"/>
    <n v="74"/>
    <n v="1.2333333333333334"/>
    <x v="0"/>
    <x v="1"/>
    <d v="2023-04-08T00:00:00"/>
    <n v="32"/>
    <s v="Low"/>
    <n v="4.8"/>
    <x v="0"/>
    <x v="6"/>
    <x v="0"/>
    <n v="5"/>
  </r>
  <r>
    <s v="Call_7605"/>
    <s v="C0009"/>
    <n v="72"/>
    <n v="1.2"/>
    <x v="0"/>
    <x v="3"/>
    <d v="2023-04-08T00:00:00"/>
    <n v="140"/>
    <s v="High"/>
    <n v="3.2"/>
    <x v="0"/>
    <x v="6"/>
    <x v="0"/>
    <n v="3"/>
  </r>
  <r>
    <s v="Call_7606"/>
    <s v="C0005"/>
    <n v="79"/>
    <n v="1.3166666666666667"/>
    <x v="0"/>
    <x v="1"/>
    <d v="2023-04-09T00:00:00"/>
    <n v="120"/>
    <s v="High"/>
    <n v="4.9000000000000004"/>
    <x v="0"/>
    <x v="0"/>
    <x v="0"/>
    <n v="5"/>
  </r>
  <r>
    <s v="Call_7607"/>
    <s v="C0015"/>
    <n v="23"/>
    <n v="0.38333333333333336"/>
    <x v="2"/>
    <x v="1"/>
    <d v="2023-04-09T00:00:00"/>
    <n v="86"/>
    <s v="Medium"/>
    <n v="2.2000000000000002"/>
    <x v="0"/>
    <x v="0"/>
    <x v="3"/>
    <n v="2"/>
  </r>
  <r>
    <s v="Call_7608"/>
    <s v="C0004"/>
    <n v="69"/>
    <n v="1.1499999999999999"/>
    <x v="0"/>
    <x v="1"/>
    <d v="2023-04-09T00:00:00"/>
    <n v="132"/>
    <s v="High"/>
    <n v="5"/>
    <x v="0"/>
    <x v="0"/>
    <x v="0"/>
    <n v="5"/>
  </r>
  <r>
    <s v="Call_7609"/>
    <s v="C0006"/>
    <n v="64"/>
    <n v="1.0666666666666667"/>
    <x v="0"/>
    <x v="1"/>
    <d v="2023-04-09T00:00:00"/>
    <n v="80"/>
    <s v="Medium"/>
    <n v="3.3"/>
    <x v="0"/>
    <x v="0"/>
    <x v="0"/>
    <n v="3"/>
  </r>
  <r>
    <s v="Call_7610"/>
    <s v="C0002"/>
    <n v="47"/>
    <n v="0.78333333333333333"/>
    <x v="1"/>
    <x v="0"/>
    <d v="2023-04-09T00:00:00"/>
    <n v="132"/>
    <s v="High"/>
    <n v="3.7"/>
    <x v="0"/>
    <x v="0"/>
    <x v="2"/>
    <n v="4"/>
  </r>
  <r>
    <s v="Call_7611"/>
    <s v="C0005"/>
    <n v="55"/>
    <n v="0.91666666666666663"/>
    <x v="1"/>
    <x v="3"/>
    <d v="2023-04-09T00:00:00"/>
    <n v="27"/>
    <s v="Low"/>
    <n v="3.7"/>
    <x v="0"/>
    <x v="0"/>
    <x v="2"/>
    <n v="4"/>
  </r>
  <r>
    <s v="Call_7612"/>
    <s v="C0010"/>
    <n v="104"/>
    <n v="1.7333333333333334"/>
    <x v="0"/>
    <x v="3"/>
    <d v="2023-04-10T00:00:00"/>
    <n v="68"/>
    <s v="Medium"/>
    <n v="3.6"/>
    <x v="0"/>
    <x v="1"/>
    <x v="0"/>
    <n v="4"/>
  </r>
  <r>
    <s v="Call_7613"/>
    <s v="C0002"/>
    <n v="116"/>
    <n v="1.9333333333333333"/>
    <x v="0"/>
    <x v="1"/>
    <d v="2023-04-10T00:00:00"/>
    <n v="22"/>
    <s v="Low"/>
    <n v="4.7"/>
    <x v="0"/>
    <x v="1"/>
    <x v="0"/>
    <n v="5"/>
  </r>
  <r>
    <s v="Call_7614"/>
    <s v="C0015"/>
    <n v="99"/>
    <n v="1.65"/>
    <x v="0"/>
    <x v="3"/>
    <d v="2023-04-10T00:00:00"/>
    <n v="42"/>
    <s v="Low"/>
    <n v="3.1"/>
    <x v="0"/>
    <x v="1"/>
    <x v="0"/>
    <n v="3"/>
  </r>
  <r>
    <s v="Call_7615"/>
    <s v="C0010"/>
    <n v="84"/>
    <n v="1.4"/>
    <x v="0"/>
    <x v="3"/>
    <d v="2023-04-11T00:00:00"/>
    <n v="38"/>
    <s v="Low"/>
    <n v="3.3"/>
    <x v="0"/>
    <x v="2"/>
    <x v="0"/>
    <n v="3"/>
  </r>
  <r>
    <s v="Call_7616"/>
    <s v="C0012"/>
    <n v="159"/>
    <n v="2.65"/>
    <x v="0"/>
    <x v="3"/>
    <d v="2023-04-11T00:00:00"/>
    <n v="42"/>
    <s v="Low"/>
    <n v="4.5"/>
    <x v="0"/>
    <x v="2"/>
    <x v="1"/>
    <n v="5"/>
  </r>
  <r>
    <s v="Call_7617"/>
    <s v="C0007"/>
    <n v="25"/>
    <n v="0.41666666666666669"/>
    <x v="2"/>
    <x v="0"/>
    <d v="2023-04-11T00:00:00"/>
    <n v="75"/>
    <s v="Medium"/>
    <n v="3.9"/>
    <x v="0"/>
    <x v="2"/>
    <x v="3"/>
    <n v="4"/>
  </r>
  <r>
    <s v="Call_7618"/>
    <s v="C0012"/>
    <n v="53"/>
    <n v="0.8833333333333333"/>
    <x v="1"/>
    <x v="4"/>
    <d v="2023-04-12T00:00:00"/>
    <n v="23"/>
    <s v="Low"/>
    <n v="4.9000000000000004"/>
    <x v="0"/>
    <x v="3"/>
    <x v="2"/>
    <n v="5"/>
  </r>
  <r>
    <s v="Call_7619"/>
    <s v="C0012"/>
    <n v="89"/>
    <n v="1.4833333333333334"/>
    <x v="0"/>
    <x v="0"/>
    <d v="2023-04-12T00:00:00"/>
    <n v="200"/>
    <s v="Very High"/>
    <n v="4.8"/>
    <x v="0"/>
    <x v="3"/>
    <x v="0"/>
    <n v="5"/>
  </r>
  <r>
    <s v="Call_7620"/>
    <s v="C0014"/>
    <n v="73"/>
    <n v="1.2166666666666666"/>
    <x v="0"/>
    <x v="1"/>
    <d v="2023-04-13T00:00:00"/>
    <n v="45"/>
    <s v="Low"/>
    <n v="3.6"/>
    <x v="0"/>
    <x v="4"/>
    <x v="0"/>
    <n v="4"/>
  </r>
  <r>
    <s v="Call_7621"/>
    <s v="C0015"/>
    <n v="50"/>
    <n v="0.83333333333333337"/>
    <x v="1"/>
    <x v="1"/>
    <d v="2023-04-13T00:00:00"/>
    <n v="105"/>
    <s v="High"/>
    <n v="3.5"/>
    <x v="0"/>
    <x v="4"/>
    <x v="2"/>
    <n v="4"/>
  </r>
  <r>
    <s v="Call_7622"/>
    <s v="C0011"/>
    <n v="98"/>
    <n v="1.6333333333333333"/>
    <x v="0"/>
    <x v="1"/>
    <d v="2023-04-13T00:00:00"/>
    <n v="22"/>
    <s v="Low"/>
    <n v="3.8"/>
    <x v="0"/>
    <x v="4"/>
    <x v="0"/>
    <n v="4"/>
  </r>
  <r>
    <s v="Call_7623"/>
    <s v="C0013"/>
    <n v="114"/>
    <n v="1.9"/>
    <x v="0"/>
    <x v="3"/>
    <d v="2023-04-14T00:00:00"/>
    <n v="126"/>
    <s v="High"/>
    <n v="4.4000000000000004"/>
    <x v="0"/>
    <x v="5"/>
    <x v="0"/>
    <n v="4"/>
  </r>
  <r>
    <s v="Call_7624"/>
    <s v="C0006"/>
    <n v="67"/>
    <n v="1.1166666666666667"/>
    <x v="0"/>
    <x v="3"/>
    <d v="2023-04-14T00:00:00"/>
    <n v="35"/>
    <s v="Low"/>
    <n v="3"/>
    <x v="0"/>
    <x v="5"/>
    <x v="0"/>
    <n v="3"/>
  </r>
  <r>
    <s v="Call_7625"/>
    <s v="C0005"/>
    <n v="91"/>
    <n v="1.5166666666666666"/>
    <x v="0"/>
    <x v="1"/>
    <d v="2023-04-14T00:00:00"/>
    <n v="84"/>
    <s v="Medium"/>
    <n v="4.5"/>
    <x v="0"/>
    <x v="5"/>
    <x v="0"/>
    <n v="5"/>
  </r>
  <r>
    <s v="Call_7626"/>
    <s v="C0008"/>
    <n v="67"/>
    <n v="1.1166666666666667"/>
    <x v="0"/>
    <x v="1"/>
    <d v="2023-04-15T00:00:00"/>
    <n v="172"/>
    <s v="Very High"/>
    <n v="4.5"/>
    <x v="0"/>
    <x v="6"/>
    <x v="0"/>
    <n v="5"/>
  </r>
  <r>
    <s v="Call_7627"/>
    <s v="C0013"/>
    <n v="139"/>
    <n v="2.3166666666666669"/>
    <x v="0"/>
    <x v="0"/>
    <d v="2023-04-15T00:00:00"/>
    <n v="114"/>
    <s v="High"/>
    <n v="4"/>
    <x v="0"/>
    <x v="6"/>
    <x v="1"/>
    <n v="4"/>
  </r>
  <r>
    <s v="Call_7628"/>
    <s v="C0008"/>
    <n v="102"/>
    <n v="1.7"/>
    <x v="0"/>
    <x v="0"/>
    <d v="2023-04-15T00:00:00"/>
    <n v="60"/>
    <s v="Medium"/>
    <n v="3.8"/>
    <x v="0"/>
    <x v="6"/>
    <x v="0"/>
    <n v="4"/>
  </r>
  <r>
    <s v="Call_7629"/>
    <s v="C0001"/>
    <n v="108"/>
    <n v="1.8"/>
    <x v="0"/>
    <x v="2"/>
    <d v="2023-04-15T00:00:00"/>
    <n v="26"/>
    <s v="Low"/>
    <n v="3.3"/>
    <x v="0"/>
    <x v="6"/>
    <x v="0"/>
    <n v="3"/>
  </r>
  <r>
    <s v="Call_7630"/>
    <s v="C0007"/>
    <n v="66"/>
    <n v="1.1000000000000001"/>
    <x v="0"/>
    <x v="1"/>
    <d v="2023-04-15T00:00:00"/>
    <n v="210"/>
    <s v="Very High"/>
    <n v="4.3"/>
    <x v="0"/>
    <x v="6"/>
    <x v="0"/>
    <n v="4"/>
  </r>
  <r>
    <s v="Call_7631"/>
    <s v="C0009"/>
    <n v="85"/>
    <n v="1.4166666666666667"/>
    <x v="0"/>
    <x v="0"/>
    <d v="2023-04-15T00:00:00"/>
    <n v="129"/>
    <s v="High"/>
    <n v="4.2"/>
    <x v="0"/>
    <x v="6"/>
    <x v="0"/>
    <n v="4"/>
  </r>
  <r>
    <s v="Call_7632"/>
    <s v="C0006"/>
    <n v="55"/>
    <n v="0.91666666666666663"/>
    <x v="1"/>
    <x v="2"/>
    <d v="2023-04-15T00:00:00"/>
    <n v="215"/>
    <s v="Very High"/>
    <n v="4.3"/>
    <x v="0"/>
    <x v="6"/>
    <x v="2"/>
    <n v="4"/>
  </r>
  <r>
    <s v="Call_7633"/>
    <s v="C0001"/>
    <n v="17"/>
    <n v="0.28333333333333333"/>
    <x v="2"/>
    <x v="4"/>
    <d v="2023-04-15T00:00:00"/>
    <n v="69"/>
    <s v="Medium"/>
    <n v="4.5999999999999996"/>
    <x v="0"/>
    <x v="6"/>
    <x v="3"/>
    <n v="5"/>
  </r>
  <r>
    <s v="Call_7634"/>
    <s v="C0006"/>
    <n v="128"/>
    <n v="2.1333333333333333"/>
    <x v="0"/>
    <x v="4"/>
    <d v="2023-04-15T00:00:00"/>
    <n v="140"/>
    <s v="High"/>
    <n v="3"/>
    <x v="0"/>
    <x v="6"/>
    <x v="1"/>
    <n v="3"/>
  </r>
  <r>
    <s v="Call_7635"/>
    <s v="C0015"/>
    <n v="45"/>
    <n v="0.75"/>
    <x v="1"/>
    <x v="2"/>
    <d v="2023-04-16T00:00:00"/>
    <n v="156"/>
    <s v="Very High"/>
    <n v="2.7"/>
    <x v="0"/>
    <x v="0"/>
    <x v="2"/>
    <n v="3"/>
  </r>
  <r>
    <s v="Call_7636"/>
    <s v="C0001"/>
    <n v="41"/>
    <n v="0.68333333333333335"/>
    <x v="1"/>
    <x v="4"/>
    <d v="2023-04-16T00:00:00"/>
    <n v="164"/>
    <s v="Very High"/>
    <n v="3.1"/>
    <x v="0"/>
    <x v="0"/>
    <x v="2"/>
    <n v="3"/>
  </r>
  <r>
    <s v="Call_7637"/>
    <s v="C0002"/>
    <n v="49"/>
    <n v="0.81666666666666665"/>
    <x v="1"/>
    <x v="4"/>
    <d v="2023-04-16T00:00:00"/>
    <n v="195"/>
    <s v="Very High"/>
    <n v="2.6"/>
    <x v="0"/>
    <x v="0"/>
    <x v="2"/>
    <n v="3"/>
  </r>
  <r>
    <s v="Call_7638"/>
    <s v="C0004"/>
    <n v="21"/>
    <n v="0.35"/>
    <x v="2"/>
    <x v="3"/>
    <d v="2023-04-16T00:00:00"/>
    <n v="74"/>
    <s v="Medium"/>
    <n v="4.5999999999999996"/>
    <x v="0"/>
    <x v="0"/>
    <x v="3"/>
    <n v="5"/>
  </r>
  <r>
    <s v="Call_7639"/>
    <s v="C0012"/>
    <n v="133"/>
    <n v="2.2166666666666668"/>
    <x v="0"/>
    <x v="2"/>
    <d v="2023-04-16T00:00:00"/>
    <n v="100"/>
    <s v="Medium"/>
    <n v="4"/>
    <x v="0"/>
    <x v="0"/>
    <x v="1"/>
    <n v="4"/>
  </r>
  <r>
    <s v="Call_7640"/>
    <s v="C0003"/>
    <n v="135"/>
    <n v="2.25"/>
    <x v="0"/>
    <x v="1"/>
    <d v="2023-04-16T00:00:00"/>
    <n v="185"/>
    <s v="Very High"/>
    <n v="4.5"/>
    <x v="0"/>
    <x v="0"/>
    <x v="1"/>
    <n v="5"/>
  </r>
  <r>
    <s v="Call_7641"/>
    <s v="C0013"/>
    <n v="69"/>
    <n v="1.1499999999999999"/>
    <x v="0"/>
    <x v="2"/>
    <d v="2023-04-16T00:00:00"/>
    <n v="130"/>
    <s v="High"/>
    <n v="1.9"/>
    <x v="0"/>
    <x v="0"/>
    <x v="0"/>
    <n v="2"/>
  </r>
  <r>
    <s v="Call_7642"/>
    <s v="C0010"/>
    <n v="110"/>
    <n v="1.8333333333333333"/>
    <x v="0"/>
    <x v="3"/>
    <d v="2023-04-17T00:00:00"/>
    <n v="21"/>
    <s v="Low"/>
    <n v="2.6"/>
    <x v="0"/>
    <x v="1"/>
    <x v="0"/>
    <n v="3"/>
  </r>
  <r>
    <s v="Call_7643"/>
    <s v="C0008"/>
    <n v="64"/>
    <n v="1.0666666666666667"/>
    <x v="0"/>
    <x v="0"/>
    <d v="2023-04-17T00:00:00"/>
    <n v="88"/>
    <s v="Medium"/>
    <n v="4.3"/>
    <x v="0"/>
    <x v="1"/>
    <x v="0"/>
    <n v="4"/>
  </r>
  <r>
    <s v="Call_7644"/>
    <s v="C0005"/>
    <n v="105"/>
    <n v="1.75"/>
    <x v="0"/>
    <x v="4"/>
    <d v="2023-04-17T00:00:00"/>
    <n v="35"/>
    <s v="Low"/>
    <n v="4.4000000000000004"/>
    <x v="0"/>
    <x v="1"/>
    <x v="0"/>
    <n v="4"/>
  </r>
  <r>
    <s v="Call_7645"/>
    <s v="C0008"/>
    <n v="165"/>
    <n v="2.75"/>
    <x v="0"/>
    <x v="1"/>
    <d v="2023-04-17T00:00:00"/>
    <n v="68"/>
    <s v="Medium"/>
    <n v="4.3"/>
    <x v="0"/>
    <x v="1"/>
    <x v="1"/>
    <n v="4"/>
  </r>
  <r>
    <s v="Call_7646"/>
    <s v="C0015"/>
    <n v="125"/>
    <n v="2.0833333333333335"/>
    <x v="0"/>
    <x v="1"/>
    <d v="2023-04-17T00:00:00"/>
    <n v="148"/>
    <s v="High"/>
    <n v="4.5"/>
    <x v="0"/>
    <x v="1"/>
    <x v="1"/>
    <n v="5"/>
  </r>
  <r>
    <s v="Call_7647"/>
    <s v="C0005"/>
    <n v="88"/>
    <n v="1.4666666666666666"/>
    <x v="0"/>
    <x v="0"/>
    <d v="2023-04-18T00:00:00"/>
    <n v="81"/>
    <s v="Medium"/>
    <n v="4.2"/>
    <x v="0"/>
    <x v="2"/>
    <x v="0"/>
    <n v="4"/>
  </r>
  <r>
    <s v="Call_7648"/>
    <s v="C0013"/>
    <n v="6"/>
    <n v="0.1"/>
    <x v="3"/>
    <x v="0"/>
    <d v="2023-04-18T00:00:00"/>
    <n v="75"/>
    <s v="Medium"/>
    <n v="3.9"/>
    <x v="0"/>
    <x v="2"/>
    <x v="4"/>
    <n v="4"/>
  </r>
  <r>
    <s v="Call_7649"/>
    <s v="C0009"/>
    <n v="69"/>
    <n v="1.1499999999999999"/>
    <x v="0"/>
    <x v="2"/>
    <d v="2023-04-19T00:00:00"/>
    <n v="32"/>
    <s v="Low"/>
    <n v="3.6"/>
    <x v="0"/>
    <x v="3"/>
    <x v="0"/>
    <n v="4"/>
  </r>
  <r>
    <s v="Call_7650"/>
    <s v="C0001"/>
    <n v="107"/>
    <n v="1.7833333333333334"/>
    <x v="0"/>
    <x v="2"/>
    <d v="2023-04-19T00:00:00"/>
    <n v="156"/>
    <s v="Very High"/>
    <n v="3.8"/>
    <x v="0"/>
    <x v="3"/>
    <x v="0"/>
    <n v="4"/>
  </r>
  <r>
    <s v="Call_7651"/>
    <s v="C0004"/>
    <n v="90"/>
    <n v="1.5"/>
    <x v="0"/>
    <x v="1"/>
    <d v="2023-04-19T00:00:00"/>
    <n v="99"/>
    <s v="Medium"/>
    <n v="4.9000000000000004"/>
    <x v="0"/>
    <x v="3"/>
    <x v="0"/>
    <n v="5"/>
  </r>
  <r>
    <s v="Call_7652"/>
    <s v="C0003"/>
    <n v="120"/>
    <n v="2"/>
    <x v="0"/>
    <x v="4"/>
    <d v="2023-04-19T00:00:00"/>
    <n v="26"/>
    <s v="Low"/>
    <n v="4"/>
    <x v="0"/>
    <x v="3"/>
    <x v="0"/>
    <n v="4"/>
  </r>
  <r>
    <s v="Call_7653"/>
    <s v="C0011"/>
    <n v="47"/>
    <n v="0.78333333333333333"/>
    <x v="1"/>
    <x v="2"/>
    <d v="2023-04-19T00:00:00"/>
    <n v="84"/>
    <s v="Medium"/>
    <n v="4.0999999999999996"/>
    <x v="0"/>
    <x v="3"/>
    <x v="2"/>
    <n v="4"/>
  </r>
  <r>
    <s v="Call_7654"/>
    <s v="C0014"/>
    <n v="60"/>
    <n v="1"/>
    <x v="1"/>
    <x v="4"/>
    <d v="2023-04-19T00:00:00"/>
    <n v="84"/>
    <s v="Medium"/>
    <n v="4.8"/>
    <x v="0"/>
    <x v="3"/>
    <x v="2"/>
    <n v="5"/>
  </r>
  <r>
    <s v="Call_7655"/>
    <s v="C0006"/>
    <n v="64"/>
    <n v="1.0666666666666667"/>
    <x v="0"/>
    <x v="1"/>
    <d v="2023-04-19T00:00:00"/>
    <n v="170"/>
    <s v="Very High"/>
    <n v="2.2999999999999998"/>
    <x v="0"/>
    <x v="3"/>
    <x v="0"/>
    <n v="2"/>
  </r>
  <r>
    <s v="Call_7656"/>
    <s v="C0008"/>
    <n v="62"/>
    <n v="1.0333333333333334"/>
    <x v="0"/>
    <x v="2"/>
    <d v="2023-04-19T00:00:00"/>
    <n v="35"/>
    <s v="Low"/>
    <n v="4.4000000000000004"/>
    <x v="0"/>
    <x v="3"/>
    <x v="0"/>
    <n v="4"/>
  </r>
  <r>
    <s v="Call_7657"/>
    <s v="C0010"/>
    <n v="88"/>
    <n v="1.4666666666666666"/>
    <x v="0"/>
    <x v="2"/>
    <d v="2023-04-20T00:00:00"/>
    <n v="35"/>
    <s v="Low"/>
    <n v="3.8"/>
    <x v="0"/>
    <x v="4"/>
    <x v="0"/>
    <n v="4"/>
  </r>
  <r>
    <s v="Call_7658"/>
    <s v="C0015"/>
    <n v="116"/>
    <n v="1.9333333333333333"/>
    <x v="0"/>
    <x v="2"/>
    <d v="2023-04-20T00:00:00"/>
    <n v="132"/>
    <s v="High"/>
    <n v="5"/>
    <x v="0"/>
    <x v="4"/>
    <x v="0"/>
    <n v="5"/>
  </r>
  <r>
    <s v="Call_7659"/>
    <s v="C0004"/>
    <n v="82"/>
    <n v="1.3666666666666667"/>
    <x v="0"/>
    <x v="0"/>
    <d v="2023-04-21T00:00:00"/>
    <n v="144"/>
    <s v="High"/>
    <n v="3.3"/>
    <x v="0"/>
    <x v="5"/>
    <x v="0"/>
    <n v="3"/>
  </r>
  <r>
    <s v="Call_7660"/>
    <s v="C0008"/>
    <n v="99"/>
    <n v="1.65"/>
    <x v="0"/>
    <x v="1"/>
    <d v="2023-04-21T00:00:00"/>
    <n v="48"/>
    <s v="Low"/>
    <n v="5"/>
    <x v="0"/>
    <x v="5"/>
    <x v="0"/>
    <n v="5"/>
  </r>
  <r>
    <s v="Call_7661"/>
    <s v="C0008"/>
    <n v="55"/>
    <n v="0.91666666666666663"/>
    <x v="1"/>
    <x v="0"/>
    <d v="2023-04-21T00:00:00"/>
    <n v="200"/>
    <s v="Very High"/>
    <n v="2.2999999999999998"/>
    <x v="0"/>
    <x v="5"/>
    <x v="2"/>
    <n v="2"/>
  </r>
  <r>
    <s v="Call_7662"/>
    <s v="C0006"/>
    <n v="61"/>
    <n v="1.0166666666666666"/>
    <x v="0"/>
    <x v="4"/>
    <d v="2023-04-21T00:00:00"/>
    <n v="38"/>
    <s v="Low"/>
    <n v="4.8"/>
    <x v="0"/>
    <x v="5"/>
    <x v="0"/>
    <n v="5"/>
  </r>
  <r>
    <s v="Call_7663"/>
    <s v="C0015"/>
    <n v="36"/>
    <n v="0.6"/>
    <x v="1"/>
    <x v="3"/>
    <d v="2023-04-21T00:00:00"/>
    <n v="81"/>
    <s v="Medium"/>
    <n v="3.7"/>
    <x v="0"/>
    <x v="5"/>
    <x v="2"/>
    <n v="4"/>
  </r>
  <r>
    <s v="Call_7664"/>
    <s v="C0004"/>
    <n v="123"/>
    <n v="2.0499999999999998"/>
    <x v="0"/>
    <x v="2"/>
    <d v="2023-04-21T00:00:00"/>
    <n v="120"/>
    <s v="High"/>
    <n v="4.2"/>
    <x v="0"/>
    <x v="5"/>
    <x v="1"/>
    <n v="4"/>
  </r>
  <r>
    <s v="Call_7665"/>
    <s v="C0002"/>
    <n v="24"/>
    <n v="0.4"/>
    <x v="2"/>
    <x v="4"/>
    <d v="2023-04-21T00:00:00"/>
    <n v="74"/>
    <s v="Medium"/>
    <n v="4.8"/>
    <x v="0"/>
    <x v="5"/>
    <x v="3"/>
    <n v="5"/>
  </r>
  <r>
    <s v="Call_7666"/>
    <s v="C0004"/>
    <n v="43"/>
    <n v="0.71666666666666667"/>
    <x v="1"/>
    <x v="2"/>
    <d v="2023-04-22T00:00:00"/>
    <n v="128"/>
    <s v="High"/>
    <n v="4.7"/>
    <x v="0"/>
    <x v="6"/>
    <x v="2"/>
    <n v="5"/>
  </r>
  <r>
    <s v="Call_7667"/>
    <s v="C0014"/>
    <n v="95"/>
    <n v="1.5833333333333333"/>
    <x v="0"/>
    <x v="1"/>
    <d v="2023-04-22T00:00:00"/>
    <n v="21"/>
    <s v="Low"/>
    <n v="3.9"/>
    <x v="0"/>
    <x v="6"/>
    <x v="0"/>
    <n v="4"/>
  </r>
  <r>
    <s v="Call_7668"/>
    <s v="C0008"/>
    <n v="53"/>
    <n v="0.8833333333333333"/>
    <x v="1"/>
    <x v="2"/>
    <d v="2023-04-22T00:00:00"/>
    <n v="110"/>
    <s v="High"/>
    <n v="4.3"/>
    <x v="0"/>
    <x v="6"/>
    <x v="2"/>
    <n v="4"/>
  </r>
  <r>
    <s v="Call_7669"/>
    <s v="C0004"/>
    <n v="113"/>
    <n v="1.8833333333333333"/>
    <x v="0"/>
    <x v="2"/>
    <d v="2023-04-22T00:00:00"/>
    <n v="145"/>
    <s v="High"/>
    <n v="4"/>
    <x v="0"/>
    <x v="6"/>
    <x v="0"/>
    <n v="4"/>
  </r>
  <r>
    <s v="Call_7670"/>
    <s v="C0008"/>
    <n v="89"/>
    <n v="1.4833333333333334"/>
    <x v="0"/>
    <x v="3"/>
    <d v="2023-04-22T00:00:00"/>
    <n v="129"/>
    <s v="High"/>
    <n v="4"/>
    <x v="0"/>
    <x v="6"/>
    <x v="0"/>
    <n v="4"/>
  </r>
  <r>
    <s v="Call_7671"/>
    <s v="C0010"/>
    <n v="84"/>
    <n v="1.4"/>
    <x v="0"/>
    <x v="0"/>
    <d v="2023-04-22T00:00:00"/>
    <n v="156"/>
    <s v="Very High"/>
    <n v="3.2"/>
    <x v="0"/>
    <x v="6"/>
    <x v="0"/>
    <n v="3"/>
  </r>
  <r>
    <s v="Call_7672"/>
    <s v="C0002"/>
    <n v="130"/>
    <n v="2.1666666666666665"/>
    <x v="0"/>
    <x v="2"/>
    <d v="2023-04-23T00:00:00"/>
    <n v="120"/>
    <s v="High"/>
    <n v="3.8"/>
    <x v="0"/>
    <x v="0"/>
    <x v="1"/>
    <n v="4"/>
  </r>
  <r>
    <s v="Call_7673"/>
    <s v="C0014"/>
    <n v="163"/>
    <n v="2.7166666666666668"/>
    <x v="0"/>
    <x v="3"/>
    <d v="2023-04-23T00:00:00"/>
    <n v="62"/>
    <s v="Medium"/>
    <n v="3.4"/>
    <x v="0"/>
    <x v="0"/>
    <x v="1"/>
    <n v="3"/>
  </r>
  <r>
    <s v="Call_7674"/>
    <s v="C0009"/>
    <n v="127"/>
    <n v="2.1166666666666667"/>
    <x v="0"/>
    <x v="2"/>
    <d v="2023-04-23T00:00:00"/>
    <n v="160"/>
    <s v="Very High"/>
    <n v="3.2"/>
    <x v="0"/>
    <x v="0"/>
    <x v="1"/>
    <n v="3"/>
  </r>
  <r>
    <s v="Call_7675"/>
    <s v="C0004"/>
    <n v="50"/>
    <n v="0.83333333333333337"/>
    <x v="1"/>
    <x v="2"/>
    <d v="2023-04-23T00:00:00"/>
    <n v="56"/>
    <s v="Medium"/>
    <n v="4.7"/>
    <x v="0"/>
    <x v="0"/>
    <x v="2"/>
    <n v="5"/>
  </r>
  <r>
    <s v="Call_7676"/>
    <s v="C0007"/>
    <n v="88"/>
    <n v="1.4666666666666666"/>
    <x v="0"/>
    <x v="4"/>
    <d v="2023-04-23T00:00:00"/>
    <n v="72"/>
    <s v="Medium"/>
    <n v="4"/>
    <x v="0"/>
    <x v="0"/>
    <x v="0"/>
    <n v="4"/>
  </r>
  <r>
    <s v="Call_7677"/>
    <s v="C0004"/>
    <n v="139"/>
    <n v="2.3166666666666669"/>
    <x v="0"/>
    <x v="1"/>
    <d v="2023-04-24T00:00:00"/>
    <n v="81"/>
    <s v="Medium"/>
    <n v="4.8"/>
    <x v="0"/>
    <x v="1"/>
    <x v="1"/>
    <n v="5"/>
  </r>
  <r>
    <s v="Call_7678"/>
    <s v="C0014"/>
    <n v="111"/>
    <n v="1.85"/>
    <x v="0"/>
    <x v="2"/>
    <d v="2023-04-24T00:00:00"/>
    <n v="144"/>
    <s v="High"/>
    <n v="3.9"/>
    <x v="0"/>
    <x v="1"/>
    <x v="0"/>
    <n v="4"/>
  </r>
  <r>
    <s v="Call_7679"/>
    <s v="C0005"/>
    <n v="115"/>
    <n v="1.9166666666666667"/>
    <x v="0"/>
    <x v="1"/>
    <d v="2023-04-24T00:00:00"/>
    <n v="111"/>
    <s v="High"/>
    <n v="4.3"/>
    <x v="0"/>
    <x v="1"/>
    <x v="0"/>
    <n v="4"/>
  </r>
  <r>
    <s v="Call_7680"/>
    <s v="C0008"/>
    <n v="26"/>
    <n v="0.43333333333333335"/>
    <x v="2"/>
    <x v="3"/>
    <d v="2023-04-24T00:00:00"/>
    <n v="43"/>
    <s v="Low"/>
    <n v="4.2"/>
    <x v="0"/>
    <x v="1"/>
    <x v="3"/>
    <n v="4"/>
  </r>
  <r>
    <s v="Call_7681"/>
    <s v="C0010"/>
    <n v="131"/>
    <n v="2.1833333333333331"/>
    <x v="0"/>
    <x v="4"/>
    <d v="2023-04-24T00:00:00"/>
    <n v="41"/>
    <s v="Low"/>
    <n v="4.9000000000000004"/>
    <x v="0"/>
    <x v="1"/>
    <x v="1"/>
    <n v="5"/>
  </r>
  <r>
    <s v="Call_7682"/>
    <s v="C0005"/>
    <n v="27"/>
    <n v="0.45"/>
    <x v="2"/>
    <x v="4"/>
    <d v="2023-04-24T00:00:00"/>
    <n v="74"/>
    <s v="Medium"/>
    <n v="4"/>
    <x v="0"/>
    <x v="1"/>
    <x v="3"/>
    <n v="4"/>
  </r>
  <r>
    <s v="Call_7683"/>
    <s v="C0012"/>
    <n v="75"/>
    <n v="1.25"/>
    <x v="0"/>
    <x v="2"/>
    <d v="2023-04-24T00:00:00"/>
    <n v="43"/>
    <s v="Low"/>
    <n v="4.9000000000000004"/>
    <x v="0"/>
    <x v="1"/>
    <x v="0"/>
    <n v="5"/>
  </r>
  <r>
    <s v="Call_7684"/>
    <s v="C0006"/>
    <n v="123"/>
    <n v="2.0499999999999998"/>
    <x v="0"/>
    <x v="4"/>
    <d v="2023-04-24T00:00:00"/>
    <n v="128"/>
    <s v="High"/>
    <n v="3.6"/>
    <x v="0"/>
    <x v="1"/>
    <x v="1"/>
    <n v="4"/>
  </r>
  <r>
    <s v="Call_7685"/>
    <s v="C0003"/>
    <n v="129"/>
    <n v="2.15"/>
    <x v="0"/>
    <x v="4"/>
    <d v="2023-04-25T00:00:00"/>
    <n v="144"/>
    <s v="High"/>
    <n v="4.0999999999999996"/>
    <x v="0"/>
    <x v="2"/>
    <x v="1"/>
    <n v="4"/>
  </r>
  <r>
    <s v="Call_7686"/>
    <s v="C0012"/>
    <n v="124"/>
    <n v="2.0666666666666669"/>
    <x v="0"/>
    <x v="1"/>
    <d v="2023-04-25T00:00:00"/>
    <n v="132"/>
    <s v="High"/>
    <n v="4.9000000000000004"/>
    <x v="0"/>
    <x v="2"/>
    <x v="1"/>
    <n v="5"/>
  </r>
  <r>
    <s v="Call_7687"/>
    <s v="C0005"/>
    <n v="108"/>
    <n v="1.8"/>
    <x v="0"/>
    <x v="1"/>
    <d v="2023-04-25T00:00:00"/>
    <n v="180"/>
    <s v="Very High"/>
    <n v="3.9"/>
    <x v="0"/>
    <x v="2"/>
    <x v="0"/>
    <n v="4"/>
  </r>
  <r>
    <s v="Call_7688"/>
    <s v="C0011"/>
    <n v="15"/>
    <n v="0.25"/>
    <x v="3"/>
    <x v="1"/>
    <d v="2023-04-25T00:00:00"/>
    <n v="31"/>
    <s v="Low"/>
    <n v="4.0999999999999996"/>
    <x v="0"/>
    <x v="2"/>
    <x v="3"/>
    <n v="4"/>
  </r>
  <r>
    <s v="Call_7689"/>
    <s v="C0005"/>
    <n v="66"/>
    <n v="1.1000000000000001"/>
    <x v="0"/>
    <x v="1"/>
    <d v="2023-04-25T00:00:00"/>
    <n v="102"/>
    <s v="High"/>
    <n v="3.8"/>
    <x v="0"/>
    <x v="2"/>
    <x v="0"/>
    <n v="4"/>
  </r>
  <r>
    <s v="Call_7690"/>
    <s v="C0007"/>
    <n v="126"/>
    <n v="2.1"/>
    <x v="0"/>
    <x v="2"/>
    <d v="2023-04-26T00:00:00"/>
    <n v="175"/>
    <s v="Very High"/>
    <n v="4.8"/>
    <x v="0"/>
    <x v="3"/>
    <x v="1"/>
    <n v="5"/>
  </r>
  <r>
    <s v="Call_7691"/>
    <s v="C0012"/>
    <n v="26"/>
    <n v="0.43333333333333335"/>
    <x v="2"/>
    <x v="0"/>
    <d v="2023-04-26T00:00:00"/>
    <n v="87"/>
    <s v="Medium"/>
    <n v="4.7"/>
    <x v="0"/>
    <x v="3"/>
    <x v="3"/>
    <n v="5"/>
  </r>
  <r>
    <s v="Call_7692"/>
    <s v="C0002"/>
    <n v="105"/>
    <n v="1.75"/>
    <x v="0"/>
    <x v="2"/>
    <d v="2023-04-26T00:00:00"/>
    <n v="66"/>
    <s v="Medium"/>
    <n v="4.2"/>
    <x v="0"/>
    <x v="3"/>
    <x v="0"/>
    <n v="4"/>
  </r>
  <r>
    <s v="Call_7693"/>
    <s v="C0002"/>
    <n v="31"/>
    <n v="0.51666666666666672"/>
    <x v="1"/>
    <x v="2"/>
    <d v="2023-04-26T00:00:00"/>
    <n v="25"/>
    <s v="Low"/>
    <n v="3.2"/>
    <x v="0"/>
    <x v="3"/>
    <x v="2"/>
    <n v="3"/>
  </r>
  <r>
    <s v="Call_7694"/>
    <s v="C0005"/>
    <n v="109"/>
    <n v="1.8166666666666667"/>
    <x v="0"/>
    <x v="1"/>
    <d v="2023-04-26T00:00:00"/>
    <n v="126"/>
    <s v="High"/>
    <n v="3.4"/>
    <x v="0"/>
    <x v="3"/>
    <x v="0"/>
    <n v="3"/>
  </r>
  <r>
    <s v="Call_7695"/>
    <s v="C0003"/>
    <n v="113"/>
    <n v="1.8833333333333333"/>
    <x v="0"/>
    <x v="3"/>
    <d v="2023-04-27T00:00:00"/>
    <n v="42"/>
    <s v="Low"/>
    <n v="4.5999999999999996"/>
    <x v="0"/>
    <x v="4"/>
    <x v="0"/>
    <n v="5"/>
  </r>
  <r>
    <s v="Call_7696"/>
    <s v="C0007"/>
    <n v="101"/>
    <n v="1.6833333333333333"/>
    <x v="0"/>
    <x v="0"/>
    <d v="2023-04-27T00:00:00"/>
    <n v="225"/>
    <s v="Very High"/>
    <n v="1.9"/>
    <x v="0"/>
    <x v="4"/>
    <x v="0"/>
    <n v="2"/>
  </r>
  <r>
    <s v="Call_7697"/>
    <s v="C0014"/>
    <n v="156"/>
    <n v="2.6"/>
    <x v="0"/>
    <x v="0"/>
    <d v="2023-04-27T00:00:00"/>
    <n v="42"/>
    <s v="Low"/>
    <n v="3.3"/>
    <x v="0"/>
    <x v="4"/>
    <x v="1"/>
    <n v="3"/>
  </r>
  <r>
    <s v="Call_7698"/>
    <s v="C0005"/>
    <n v="145"/>
    <n v="2.4166666666666665"/>
    <x v="0"/>
    <x v="3"/>
    <d v="2023-04-28T00:00:00"/>
    <n v="110"/>
    <s v="High"/>
    <n v="3.1"/>
    <x v="0"/>
    <x v="5"/>
    <x v="1"/>
    <n v="3"/>
  </r>
  <r>
    <s v="Call_7699"/>
    <s v="C0006"/>
    <n v="36"/>
    <n v="0.6"/>
    <x v="1"/>
    <x v="1"/>
    <d v="2023-04-28T00:00:00"/>
    <n v="225"/>
    <s v="Very High"/>
    <n v="4.8"/>
    <x v="0"/>
    <x v="5"/>
    <x v="2"/>
    <n v="5"/>
  </r>
  <r>
    <s v="Call_7700"/>
    <s v="C0002"/>
    <n v="135"/>
    <n v="2.25"/>
    <x v="0"/>
    <x v="4"/>
    <d v="2023-04-29T00:00:00"/>
    <n v="125"/>
    <s v="High"/>
    <n v="3.3"/>
    <x v="0"/>
    <x v="6"/>
    <x v="1"/>
    <n v="3"/>
  </r>
  <r>
    <s v="Call_7701"/>
    <s v="C0007"/>
    <n v="81"/>
    <n v="1.35"/>
    <x v="0"/>
    <x v="1"/>
    <d v="2023-04-29T00:00:00"/>
    <n v="78"/>
    <s v="Medium"/>
    <n v="2.9"/>
    <x v="0"/>
    <x v="6"/>
    <x v="0"/>
    <n v="3"/>
  </r>
  <r>
    <s v="Call_7702"/>
    <s v="C0007"/>
    <n v="81"/>
    <n v="1.35"/>
    <x v="0"/>
    <x v="3"/>
    <d v="2023-04-29T00:00:00"/>
    <n v="40"/>
    <s v="Low"/>
    <n v="2.4"/>
    <x v="0"/>
    <x v="6"/>
    <x v="0"/>
    <n v="2"/>
  </r>
  <r>
    <s v="Call_7703"/>
    <s v="C0009"/>
    <n v="93"/>
    <n v="1.55"/>
    <x v="0"/>
    <x v="2"/>
    <d v="2023-04-29T00:00:00"/>
    <n v="150"/>
    <s v="High"/>
    <n v="4.5999999999999996"/>
    <x v="0"/>
    <x v="6"/>
    <x v="0"/>
    <n v="5"/>
  </r>
  <r>
    <s v="Call_7704"/>
    <s v="C0005"/>
    <n v="14"/>
    <n v="0.23333333333333334"/>
    <x v="3"/>
    <x v="1"/>
    <d v="2023-04-29T00:00:00"/>
    <n v="96"/>
    <s v="Medium"/>
    <n v="4.8"/>
    <x v="0"/>
    <x v="6"/>
    <x v="3"/>
    <n v="5"/>
  </r>
  <r>
    <s v="Call_7705"/>
    <s v="C0002"/>
    <n v="95"/>
    <n v="1.5833333333333333"/>
    <x v="0"/>
    <x v="3"/>
    <d v="2023-04-30T00:00:00"/>
    <n v="75"/>
    <s v="Medium"/>
    <n v="4.8"/>
    <x v="0"/>
    <x v="0"/>
    <x v="0"/>
    <n v="5"/>
  </r>
  <r>
    <s v="Call_7706"/>
    <s v="C0009"/>
    <n v="81"/>
    <n v="1.35"/>
    <x v="0"/>
    <x v="3"/>
    <d v="2023-04-30T00:00:00"/>
    <n v="60"/>
    <s v="Medium"/>
    <n v="3.6"/>
    <x v="0"/>
    <x v="0"/>
    <x v="0"/>
    <n v="4"/>
  </r>
  <r>
    <s v="Call_7707"/>
    <s v="C0008"/>
    <n v="60"/>
    <n v="1"/>
    <x v="1"/>
    <x v="1"/>
    <d v="2023-05-01T00:00:00"/>
    <n v="41"/>
    <s v="Low"/>
    <n v="4.8"/>
    <x v="0"/>
    <x v="1"/>
    <x v="2"/>
    <n v="5"/>
  </r>
  <r>
    <s v="Call_7708"/>
    <s v="C0013"/>
    <n v="137"/>
    <n v="2.2833333333333332"/>
    <x v="0"/>
    <x v="2"/>
    <d v="2023-05-01T00:00:00"/>
    <n v="20"/>
    <s v="Low"/>
    <n v="4.2"/>
    <x v="0"/>
    <x v="1"/>
    <x v="1"/>
    <n v="4"/>
  </r>
  <r>
    <s v="Call_7709"/>
    <s v="C0004"/>
    <n v="112"/>
    <n v="1.8666666666666667"/>
    <x v="0"/>
    <x v="4"/>
    <d v="2023-05-01T00:00:00"/>
    <n v="84"/>
    <s v="Medium"/>
    <n v="2.6"/>
    <x v="0"/>
    <x v="1"/>
    <x v="0"/>
    <n v="3"/>
  </r>
  <r>
    <s v="Call_7710"/>
    <s v="C0002"/>
    <n v="76"/>
    <n v="1.2666666666666666"/>
    <x v="0"/>
    <x v="0"/>
    <d v="2023-05-01T00:00:00"/>
    <n v="140"/>
    <s v="High"/>
    <n v="3.7"/>
    <x v="0"/>
    <x v="1"/>
    <x v="0"/>
    <n v="4"/>
  </r>
  <r>
    <s v="Call_7711"/>
    <s v="C0015"/>
    <n v="73"/>
    <n v="1.2166666666666666"/>
    <x v="0"/>
    <x v="1"/>
    <d v="2023-05-01T00:00:00"/>
    <n v="66"/>
    <s v="Medium"/>
    <n v="4.8"/>
    <x v="0"/>
    <x v="1"/>
    <x v="0"/>
    <n v="5"/>
  </r>
  <r>
    <s v="Call_7712"/>
    <s v="C0010"/>
    <n v="119"/>
    <n v="1.9833333333333334"/>
    <x v="0"/>
    <x v="2"/>
    <d v="2023-05-01T00:00:00"/>
    <n v="105"/>
    <s v="High"/>
    <n v="4.7"/>
    <x v="0"/>
    <x v="1"/>
    <x v="0"/>
    <n v="5"/>
  </r>
  <r>
    <s v="Call_7713"/>
    <s v="C0003"/>
    <n v="135"/>
    <n v="2.25"/>
    <x v="0"/>
    <x v="3"/>
    <d v="2023-05-02T00:00:00"/>
    <n v="104"/>
    <s v="High"/>
    <n v="4.0999999999999996"/>
    <x v="0"/>
    <x v="2"/>
    <x v="1"/>
    <n v="4"/>
  </r>
  <r>
    <s v="Call_7714"/>
    <s v="C0013"/>
    <n v="41"/>
    <n v="0.68333333333333335"/>
    <x v="1"/>
    <x v="4"/>
    <d v="2023-05-02T00:00:00"/>
    <n v="123"/>
    <s v="High"/>
    <n v="3.2"/>
    <x v="0"/>
    <x v="2"/>
    <x v="2"/>
    <n v="3"/>
  </r>
  <r>
    <s v="Call_7715"/>
    <s v="C0005"/>
    <n v="35"/>
    <n v="0.58333333333333337"/>
    <x v="1"/>
    <x v="3"/>
    <d v="2023-05-03T00:00:00"/>
    <n v="215"/>
    <s v="Very High"/>
    <n v="4.3"/>
    <x v="0"/>
    <x v="3"/>
    <x v="2"/>
    <n v="4"/>
  </r>
  <r>
    <s v="Call_7716"/>
    <s v="C0003"/>
    <n v="96"/>
    <n v="1.6"/>
    <x v="0"/>
    <x v="1"/>
    <d v="2023-05-03T00:00:00"/>
    <n v="46"/>
    <s v="Low"/>
    <n v="0.7"/>
    <x v="0"/>
    <x v="3"/>
    <x v="0"/>
    <n v="1"/>
  </r>
  <r>
    <s v="Call_7717"/>
    <s v="C0009"/>
    <n v="61"/>
    <n v="1.0166666666666666"/>
    <x v="0"/>
    <x v="4"/>
    <d v="2023-05-03T00:00:00"/>
    <n v="115"/>
    <s v="High"/>
    <n v="3.7"/>
    <x v="0"/>
    <x v="3"/>
    <x v="0"/>
    <n v="4"/>
  </r>
  <r>
    <s v="Call_7718"/>
    <s v="C0003"/>
    <n v="91"/>
    <n v="1.5166666666666666"/>
    <x v="0"/>
    <x v="4"/>
    <d v="2023-05-03T00:00:00"/>
    <n v="124"/>
    <s v="High"/>
    <n v="3.9"/>
    <x v="0"/>
    <x v="3"/>
    <x v="0"/>
    <n v="4"/>
  </r>
  <r>
    <s v="Call_7719"/>
    <s v="C0001"/>
    <n v="30"/>
    <n v="0.5"/>
    <x v="2"/>
    <x v="4"/>
    <d v="2023-05-04T00:00:00"/>
    <n v="205"/>
    <s v="Very High"/>
    <n v="4.5"/>
    <x v="0"/>
    <x v="4"/>
    <x v="3"/>
    <n v="5"/>
  </r>
  <r>
    <s v="Call_7720"/>
    <s v="C0008"/>
    <n v="111"/>
    <n v="1.85"/>
    <x v="0"/>
    <x v="2"/>
    <d v="2023-05-04T00:00:00"/>
    <n v="90"/>
    <s v="Medium"/>
    <n v="2.8"/>
    <x v="0"/>
    <x v="4"/>
    <x v="0"/>
    <n v="3"/>
  </r>
  <r>
    <s v="Call_7721"/>
    <s v="C0009"/>
    <n v="81"/>
    <n v="1.35"/>
    <x v="0"/>
    <x v="1"/>
    <d v="2023-05-04T00:00:00"/>
    <n v="92"/>
    <s v="Medium"/>
    <n v="4.9000000000000004"/>
    <x v="0"/>
    <x v="4"/>
    <x v="0"/>
    <n v="5"/>
  </r>
  <r>
    <s v="Call_7722"/>
    <s v="C0002"/>
    <n v="40"/>
    <n v="0.66666666666666663"/>
    <x v="1"/>
    <x v="3"/>
    <d v="2023-05-06T00:00:00"/>
    <n v="108"/>
    <s v="High"/>
    <n v="4.2"/>
    <x v="0"/>
    <x v="6"/>
    <x v="2"/>
    <n v="4"/>
  </r>
  <r>
    <s v="Call_7723"/>
    <s v="C0008"/>
    <n v="143"/>
    <n v="2.3833333333333333"/>
    <x v="0"/>
    <x v="3"/>
    <d v="2023-05-06T00:00:00"/>
    <n v="54"/>
    <s v="Medium"/>
    <n v="4.4000000000000004"/>
    <x v="0"/>
    <x v="6"/>
    <x v="1"/>
    <n v="4"/>
  </r>
  <r>
    <s v="Call_7724"/>
    <s v="C0002"/>
    <n v="70"/>
    <n v="1.1666666666666667"/>
    <x v="0"/>
    <x v="3"/>
    <d v="2023-05-07T00:00:00"/>
    <n v="44"/>
    <s v="Low"/>
    <n v="3.5"/>
    <x v="0"/>
    <x v="0"/>
    <x v="0"/>
    <n v="4"/>
  </r>
  <r>
    <s v="Call_7725"/>
    <s v="C0015"/>
    <n v="137"/>
    <n v="2.2833333333333332"/>
    <x v="0"/>
    <x v="3"/>
    <d v="2023-05-07T00:00:00"/>
    <n v="44"/>
    <s v="Low"/>
    <n v="4.7"/>
    <x v="0"/>
    <x v="0"/>
    <x v="1"/>
    <n v="5"/>
  </r>
  <r>
    <s v="Call_7726"/>
    <s v="C0003"/>
    <n v="52"/>
    <n v="0.8666666666666667"/>
    <x v="1"/>
    <x v="1"/>
    <d v="2023-05-08T00:00:00"/>
    <n v="37"/>
    <s v="Low"/>
    <n v="4.9000000000000004"/>
    <x v="0"/>
    <x v="1"/>
    <x v="2"/>
    <n v="5"/>
  </r>
  <r>
    <s v="Call_7727"/>
    <s v="C0004"/>
    <n v="31"/>
    <n v="0.51666666666666672"/>
    <x v="1"/>
    <x v="2"/>
    <d v="2023-05-08T00:00:00"/>
    <n v="180"/>
    <s v="Very High"/>
    <n v="4.5"/>
    <x v="0"/>
    <x v="1"/>
    <x v="2"/>
    <n v="5"/>
  </r>
  <r>
    <s v="Call_7728"/>
    <s v="C0003"/>
    <n v="114"/>
    <n v="1.9"/>
    <x v="0"/>
    <x v="4"/>
    <d v="2023-05-08T00:00:00"/>
    <n v="105"/>
    <s v="High"/>
    <n v="4.9000000000000004"/>
    <x v="0"/>
    <x v="1"/>
    <x v="0"/>
    <n v="5"/>
  </r>
  <r>
    <s v="Call_7729"/>
    <s v="C0015"/>
    <n v="73"/>
    <n v="1.2166666666666666"/>
    <x v="0"/>
    <x v="0"/>
    <d v="2023-05-08T00:00:00"/>
    <n v="87"/>
    <s v="Medium"/>
    <n v="3.6"/>
    <x v="0"/>
    <x v="1"/>
    <x v="0"/>
    <n v="4"/>
  </r>
  <r>
    <s v="Call_7730"/>
    <s v="C0009"/>
    <n v="25"/>
    <n v="0.41666666666666669"/>
    <x v="2"/>
    <x v="2"/>
    <d v="2023-05-08T00:00:00"/>
    <n v="52"/>
    <s v="Medium"/>
    <n v="3.8"/>
    <x v="0"/>
    <x v="1"/>
    <x v="3"/>
    <n v="4"/>
  </r>
  <r>
    <s v="Call_7731"/>
    <s v="C0011"/>
    <n v="44"/>
    <n v="0.73333333333333328"/>
    <x v="1"/>
    <x v="4"/>
    <d v="2023-05-08T00:00:00"/>
    <n v="63"/>
    <s v="Medium"/>
    <n v="3.5"/>
    <x v="0"/>
    <x v="1"/>
    <x v="2"/>
    <n v="4"/>
  </r>
  <r>
    <s v="Call_7732"/>
    <s v="C0006"/>
    <n v="34"/>
    <n v="0.56666666666666665"/>
    <x v="1"/>
    <x v="1"/>
    <d v="2023-05-09T00:00:00"/>
    <n v="195"/>
    <s v="Very High"/>
    <n v="4.8"/>
    <x v="0"/>
    <x v="2"/>
    <x v="2"/>
    <n v="5"/>
  </r>
  <r>
    <s v="Call_7733"/>
    <s v="C0008"/>
    <n v="89"/>
    <n v="1.4833333333333334"/>
    <x v="0"/>
    <x v="3"/>
    <d v="2023-05-10T00:00:00"/>
    <n v="176"/>
    <s v="Very High"/>
    <n v="4.5"/>
    <x v="0"/>
    <x v="3"/>
    <x v="0"/>
    <n v="5"/>
  </r>
  <r>
    <s v="Call_7734"/>
    <s v="C0010"/>
    <n v="54"/>
    <n v="0.9"/>
    <x v="1"/>
    <x v="2"/>
    <d v="2023-05-11T00:00:00"/>
    <n v="31"/>
    <s v="Low"/>
    <n v="3.3"/>
    <x v="0"/>
    <x v="4"/>
    <x v="2"/>
    <n v="3"/>
  </r>
  <r>
    <s v="Call_7735"/>
    <s v="C0005"/>
    <n v="25"/>
    <n v="0.41666666666666669"/>
    <x v="2"/>
    <x v="2"/>
    <d v="2023-05-12T00:00:00"/>
    <n v="27"/>
    <s v="Low"/>
    <n v="3.2"/>
    <x v="0"/>
    <x v="5"/>
    <x v="3"/>
    <n v="3"/>
  </r>
  <r>
    <s v="Call_7736"/>
    <s v="C0013"/>
    <n v="91"/>
    <n v="1.5166666666666666"/>
    <x v="0"/>
    <x v="3"/>
    <d v="2023-05-12T00:00:00"/>
    <n v="76"/>
    <s v="Medium"/>
    <n v="4.9000000000000004"/>
    <x v="0"/>
    <x v="5"/>
    <x v="0"/>
    <n v="5"/>
  </r>
  <r>
    <s v="Call_7737"/>
    <s v="C0011"/>
    <n v="144"/>
    <n v="2.4"/>
    <x v="0"/>
    <x v="4"/>
    <d v="2023-05-12T00:00:00"/>
    <n v="62"/>
    <s v="Medium"/>
    <n v="4.8"/>
    <x v="0"/>
    <x v="5"/>
    <x v="1"/>
    <n v="5"/>
  </r>
  <r>
    <s v="Call_7738"/>
    <s v="C0013"/>
    <n v="81"/>
    <n v="1.35"/>
    <x v="0"/>
    <x v="1"/>
    <d v="2023-05-14T00:00:00"/>
    <n v="100"/>
    <s v="Medium"/>
    <n v="1.3"/>
    <x v="0"/>
    <x v="0"/>
    <x v="0"/>
    <n v="1"/>
  </r>
  <r>
    <s v="Call_7739"/>
    <s v="C0001"/>
    <n v="92"/>
    <n v="1.5333333333333334"/>
    <x v="0"/>
    <x v="2"/>
    <d v="2023-05-14T00:00:00"/>
    <n v="44"/>
    <s v="Low"/>
    <n v="3.1"/>
    <x v="0"/>
    <x v="0"/>
    <x v="0"/>
    <n v="3"/>
  </r>
  <r>
    <s v="Call_7740"/>
    <s v="C0005"/>
    <n v="115"/>
    <n v="1.9166666666666667"/>
    <x v="0"/>
    <x v="3"/>
    <d v="2023-05-14T00:00:00"/>
    <n v="168"/>
    <s v="Very High"/>
    <n v="3.4"/>
    <x v="0"/>
    <x v="0"/>
    <x v="0"/>
    <n v="3"/>
  </r>
  <r>
    <s v="Call_7741"/>
    <s v="C0007"/>
    <n v="56"/>
    <n v="0.93333333333333335"/>
    <x v="1"/>
    <x v="3"/>
    <d v="2023-05-15T00:00:00"/>
    <n v="200"/>
    <s v="Very High"/>
    <n v="4.5999999999999996"/>
    <x v="0"/>
    <x v="1"/>
    <x v="2"/>
    <n v="5"/>
  </r>
  <r>
    <s v="Call_7742"/>
    <s v="C0004"/>
    <n v="154"/>
    <n v="2.5666666666666669"/>
    <x v="0"/>
    <x v="2"/>
    <d v="2023-05-15T00:00:00"/>
    <n v="84"/>
    <s v="Medium"/>
    <n v="4.3"/>
    <x v="0"/>
    <x v="1"/>
    <x v="1"/>
    <n v="4"/>
  </r>
  <r>
    <s v="Call_7743"/>
    <s v="C0008"/>
    <n v="51"/>
    <n v="0.85"/>
    <x v="1"/>
    <x v="3"/>
    <d v="2023-05-16T00:00:00"/>
    <n v="117"/>
    <s v="High"/>
    <n v="2.7"/>
    <x v="0"/>
    <x v="2"/>
    <x v="2"/>
    <n v="3"/>
  </r>
  <r>
    <s v="Call_7744"/>
    <s v="C0006"/>
    <n v="21"/>
    <n v="0.35"/>
    <x v="2"/>
    <x v="1"/>
    <d v="2023-05-16T00:00:00"/>
    <n v="63"/>
    <s v="Medium"/>
    <n v="4.2"/>
    <x v="0"/>
    <x v="2"/>
    <x v="3"/>
    <n v="4"/>
  </r>
  <r>
    <s v="Call_7745"/>
    <s v="C0005"/>
    <n v="80"/>
    <n v="1.3333333333333333"/>
    <x v="0"/>
    <x v="3"/>
    <d v="2023-05-17T00:00:00"/>
    <n v="145"/>
    <s v="High"/>
    <n v="4.9000000000000004"/>
    <x v="0"/>
    <x v="3"/>
    <x v="0"/>
    <n v="5"/>
  </r>
  <r>
    <s v="Call_7746"/>
    <s v="C0008"/>
    <n v="139"/>
    <n v="2.3166666666666669"/>
    <x v="0"/>
    <x v="2"/>
    <d v="2023-05-17T00:00:00"/>
    <n v="220"/>
    <s v="Very High"/>
    <n v="3.2"/>
    <x v="0"/>
    <x v="3"/>
    <x v="1"/>
    <n v="3"/>
  </r>
  <r>
    <s v="Call_7747"/>
    <s v="C0002"/>
    <n v="50"/>
    <n v="0.83333333333333337"/>
    <x v="1"/>
    <x v="1"/>
    <d v="2023-05-17T00:00:00"/>
    <n v="26"/>
    <s v="Low"/>
    <n v="4.7"/>
    <x v="0"/>
    <x v="3"/>
    <x v="2"/>
    <n v="5"/>
  </r>
  <r>
    <s v="Call_7748"/>
    <s v="C0005"/>
    <n v="88"/>
    <n v="1.4666666666666666"/>
    <x v="0"/>
    <x v="3"/>
    <d v="2023-05-17T00:00:00"/>
    <n v="78"/>
    <s v="Medium"/>
    <n v="4.3"/>
    <x v="0"/>
    <x v="3"/>
    <x v="0"/>
    <n v="4"/>
  </r>
  <r>
    <s v="Call_7749"/>
    <s v="C0010"/>
    <n v="19"/>
    <n v="0.31666666666666665"/>
    <x v="2"/>
    <x v="4"/>
    <d v="2023-05-18T00:00:00"/>
    <n v="132"/>
    <s v="High"/>
    <n v="4.3"/>
    <x v="0"/>
    <x v="4"/>
    <x v="3"/>
    <n v="4"/>
  </r>
  <r>
    <s v="Call_7750"/>
    <s v="C0009"/>
    <n v="104"/>
    <n v="1.7333333333333334"/>
    <x v="0"/>
    <x v="4"/>
    <d v="2023-05-19T00:00:00"/>
    <n v="68"/>
    <s v="Medium"/>
    <n v="3.7"/>
    <x v="0"/>
    <x v="5"/>
    <x v="0"/>
    <n v="4"/>
  </r>
  <r>
    <s v="Call_7751"/>
    <s v="C0004"/>
    <n v="67"/>
    <n v="1.1166666666666667"/>
    <x v="0"/>
    <x v="2"/>
    <d v="2023-05-21T00:00:00"/>
    <n v="129"/>
    <s v="High"/>
    <n v="4.7"/>
    <x v="0"/>
    <x v="0"/>
    <x v="0"/>
    <n v="5"/>
  </r>
  <r>
    <s v="Call_7752"/>
    <s v="C0012"/>
    <n v="107"/>
    <n v="1.7833333333333334"/>
    <x v="0"/>
    <x v="4"/>
    <d v="2023-05-21T00:00:00"/>
    <n v="115"/>
    <s v="High"/>
    <n v="4.9000000000000004"/>
    <x v="0"/>
    <x v="0"/>
    <x v="0"/>
    <n v="5"/>
  </r>
  <r>
    <s v="Call_7753"/>
    <s v="C0012"/>
    <n v="93"/>
    <n v="1.55"/>
    <x v="0"/>
    <x v="4"/>
    <d v="2023-05-21T00:00:00"/>
    <n v="128"/>
    <s v="High"/>
    <n v="3.9"/>
    <x v="0"/>
    <x v="0"/>
    <x v="0"/>
    <n v="4"/>
  </r>
  <r>
    <s v="Call_7754"/>
    <s v="C0012"/>
    <n v="117"/>
    <n v="1.95"/>
    <x v="0"/>
    <x v="2"/>
    <d v="2023-05-21T00:00:00"/>
    <n v="90"/>
    <s v="Medium"/>
    <n v="4.5"/>
    <x v="0"/>
    <x v="0"/>
    <x v="0"/>
    <n v="5"/>
  </r>
  <r>
    <s v="Call_7755"/>
    <s v="C0002"/>
    <n v="76"/>
    <n v="1.2666666666666666"/>
    <x v="0"/>
    <x v="3"/>
    <d v="2023-05-22T00:00:00"/>
    <n v="39"/>
    <s v="Low"/>
    <n v="4.5999999999999996"/>
    <x v="0"/>
    <x v="1"/>
    <x v="0"/>
    <n v="5"/>
  </r>
  <r>
    <s v="Call_7756"/>
    <s v="C0010"/>
    <n v="64"/>
    <n v="1.0666666666666667"/>
    <x v="0"/>
    <x v="4"/>
    <d v="2023-05-22T00:00:00"/>
    <n v="132"/>
    <s v="High"/>
    <n v="3.3"/>
    <x v="0"/>
    <x v="1"/>
    <x v="0"/>
    <n v="3"/>
  </r>
  <r>
    <s v="Call_7757"/>
    <s v="C0011"/>
    <n v="33"/>
    <n v="0.55000000000000004"/>
    <x v="1"/>
    <x v="4"/>
    <d v="2023-05-22T00:00:00"/>
    <n v="170"/>
    <s v="Very High"/>
    <n v="3.8"/>
    <x v="0"/>
    <x v="1"/>
    <x v="2"/>
    <n v="4"/>
  </r>
  <r>
    <s v="Call_7758"/>
    <s v="C0012"/>
    <n v="115"/>
    <n v="1.9166666666666667"/>
    <x v="0"/>
    <x v="2"/>
    <d v="2023-05-22T00:00:00"/>
    <n v="42"/>
    <s v="Low"/>
    <n v="4.7"/>
    <x v="0"/>
    <x v="1"/>
    <x v="0"/>
    <n v="5"/>
  </r>
  <r>
    <s v="Call_7759"/>
    <s v="C0014"/>
    <n v="155"/>
    <n v="2.5833333333333335"/>
    <x v="0"/>
    <x v="3"/>
    <d v="2023-05-23T00:00:00"/>
    <n v="37"/>
    <s v="Low"/>
    <n v="4"/>
    <x v="0"/>
    <x v="2"/>
    <x v="1"/>
    <n v="4"/>
  </r>
  <r>
    <s v="Call_7760"/>
    <s v="C0004"/>
    <n v="117"/>
    <n v="1.95"/>
    <x v="0"/>
    <x v="3"/>
    <d v="2023-05-23T00:00:00"/>
    <n v="88"/>
    <s v="Medium"/>
    <n v="4.7"/>
    <x v="0"/>
    <x v="2"/>
    <x v="0"/>
    <n v="5"/>
  </r>
  <r>
    <s v="Call_7761"/>
    <s v="C0008"/>
    <n v="63"/>
    <n v="1.05"/>
    <x v="0"/>
    <x v="3"/>
    <d v="2023-05-23T00:00:00"/>
    <n v="80"/>
    <s v="Medium"/>
    <n v="2.5"/>
    <x v="0"/>
    <x v="2"/>
    <x v="0"/>
    <n v="3"/>
  </r>
  <r>
    <s v="Call_7762"/>
    <s v="C0010"/>
    <n v="59"/>
    <n v="0.98333333333333328"/>
    <x v="1"/>
    <x v="0"/>
    <d v="2023-05-24T00:00:00"/>
    <n v="123"/>
    <s v="High"/>
    <n v="3.6"/>
    <x v="0"/>
    <x v="3"/>
    <x v="2"/>
    <n v="4"/>
  </r>
  <r>
    <s v="Call_7763"/>
    <s v="C0006"/>
    <n v="133"/>
    <n v="2.2166666666666668"/>
    <x v="0"/>
    <x v="4"/>
    <d v="2023-05-24T00:00:00"/>
    <n v="31"/>
    <s v="Low"/>
    <n v="3.7"/>
    <x v="0"/>
    <x v="3"/>
    <x v="1"/>
    <n v="4"/>
  </r>
  <r>
    <s v="Call_7764"/>
    <s v="C0001"/>
    <n v="101"/>
    <n v="1.6833333333333333"/>
    <x v="0"/>
    <x v="1"/>
    <d v="2023-05-24T00:00:00"/>
    <n v="205"/>
    <s v="Very High"/>
    <n v="3.9"/>
    <x v="0"/>
    <x v="3"/>
    <x v="0"/>
    <n v="4"/>
  </r>
  <r>
    <s v="Call_7765"/>
    <s v="C0013"/>
    <n v="151"/>
    <n v="2.5166666666666666"/>
    <x v="0"/>
    <x v="3"/>
    <d v="2023-05-25T00:00:00"/>
    <n v="123"/>
    <s v="High"/>
    <n v="3.7"/>
    <x v="0"/>
    <x v="4"/>
    <x v="1"/>
    <n v="4"/>
  </r>
  <r>
    <s v="Call_7766"/>
    <s v="C0011"/>
    <n v="146"/>
    <n v="2.4333333333333331"/>
    <x v="0"/>
    <x v="4"/>
    <d v="2023-05-25T00:00:00"/>
    <n v="123"/>
    <s v="High"/>
    <n v="4.3"/>
    <x v="0"/>
    <x v="4"/>
    <x v="1"/>
    <n v="4"/>
  </r>
  <r>
    <s v="Call_7767"/>
    <s v="C0008"/>
    <n v="148"/>
    <n v="2.4666666666666668"/>
    <x v="0"/>
    <x v="4"/>
    <d v="2023-05-25T00:00:00"/>
    <n v="36"/>
    <s v="Low"/>
    <n v="2.9"/>
    <x v="0"/>
    <x v="4"/>
    <x v="1"/>
    <n v="3"/>
  </r>
  <r>
    <s v="Call_7768"/>
    <s v="C0013"/>
    <n v="81"/>
    <n v="1.35"/>
    <x v="0"/>
    <x v="4"/>
    <d v="2023-05-25T00:00:00"/>
    <n v="116"/>
    <s v="High"/>
    <n v="4.3"/>
    <x v="0"/>
    <x v="4"/>
    <x v="0"/>
    <n v="4"/>
  </r>
  <r>
    <s v="Call_7769"/>
    <s v="C0009"/>
    <n v="115"/>
    <n v="1.9166666666666667"/>
    <x v="0"/>
    <x v="4"/>
    <d v="2023-05-25T00:00:00"/>
    <n v="40"/>
    <s v="Low"/>
    <n v="4.9000000000000004"/>
    <x v="0"/>
    <x v="4"/>
    <x v="0"/>
    <n v="5"/>
  </r>
  <r>
    <s v="Call_7770"/>
    <s v="C0009"/>
    <n v="117"/>
    <n v="1.95"/>
    <x v="0"/>
    <x v="3"/>
    <d v="2023-05-25T00:00:00"/>
    <n v="40"/>
    <s v="Low"/>
    <n v="4"/>
    <x v="0"/>
    <x v="4"/>
    <x v="0"/>
    <n v="4"/>
  </r>
  <r>
    <s v="Call_7771"/>
    <s v="C0001"/>
    <n v="110"/>
    <n v="1.8333333333333333"/>
    <x v="0"/>
    <x v="2"/>
    <d v="2023-05-26T00:00:00"/>
    <n v="82"/>
    <s v="Medium"/>
    <n v="4"/>
    <x v="0"/>
    <x v="5"/>
    <x v="0"/>
    <n v="4"/>
  </r>
  <r>
    <s v="Call_7772"/>
    <s v="C0002"/>
    <n v="103"/>
    <n v="1.7166666666666666"/>
    <x v="0"/>
    <x v="0"/>
    <d v="2023-05-26T00:00:00"/>
    <n v="62"/>
    <s v="Medium"/>
    <n v="3.4"/>
    <x v="0"/>
    <x v="5"/>
    <x v="0"/>
    <n v="3"/>
  </r>
  <r>
    <s v="Call_7773"/>
    <s v="C0014"/>
    <n v="45"/>
    <n v="0.75"/>
    <x v="1"/>
    <x v="0"/>
    <d v="2023-05-26T00:00:00"/>
    <n v="135"/>
    <s v="High"/>
    <n v="3.9"/>
    <x v="0"/>
    <x v="5"/>
    <x v="2"/>
    <n v="4"/>
  </r>
  <r>
    <s v="Call_7774"/>
    <s v="C0001"/>
    <n v="110"/>
    <n v="1.8333333333333333"/>
    <x v="0"/>
    <x v="1"/>
    <d v="2023-05-26T00:00:00"/>
    <n v="155"/>
    <s v="Very High"/>
    <n v="2.1"/>
    <x v="0"/>
    <x v="5"/>
    <x v="0"/>
    <n v="2"/>
  </r>
  <r>
    <s v="Call_7775"/>
    <s v="C0010"/>
    <n v="43"/>
    <n v="0.71666666666666667"/>
    <x v="1"/>
    <x v="2"/>
    <d v="2023-05-26T00:00:00"/>
    <n v="37"/>
    <s v="Low"/>
    <n v="4.9000000000000004"/>
    <x v="0"/>
    <x v="5"/>
    <x v="2"/>
    <n v="5"/>
  </r>
  <r>
    <s v="Call_7776"/>
    <s v="C0001"/>
    <n v="104"/>
    <n v="1.7333333333333334"/>
    <x v="0"/>
    <x v="3"/>
    <d v="2023-05-27T00:00:00"/>
    <n v="56"/>
    <s v="Medium"/>
    <n v="3.4"/>
    <x v="0"/>
    <x v="6"/>
    <x v="0"/>
    <n v="3"/>
  </r>
  <r>
    <s v="Call_7777"/>
    <s v="C0001"/>
    <n v="101"/>
    <n v="1.6833333333333333"/>
    <x v="0"/>
    <x v="3"/>
    <d v="2023-05-27T00:00:00"/>
    <n v="185"/>
    <s v="Very High"/>
    <n v="5"/>
    <x v="0"/>
    <x v="6"/>
    <x v="0"/>
    <n v="5"/>
  </r>
  <r>
    <s v="Call_7778"/>
    <s v="C0003"/>
    <n v="55"/>
    <n v="0.91666666666666663"/>
    <x v="1"/>
    <x v="2"/>
    <d v="2023-05-28T00:00:00"/>
    <n v="145"/>
    <s v="High"/>
    <n v="4.5"/>
    <x v="0"/>
    <x v="0"/>
    <x v="2"/>
    <n v="5"/>
  </r>
  <r>
    <s v="Call_7779"/>
    <s v="C0013"/>
    <n v="40"/>
    <n v="0.66666666666666663"/>
    <x v="1"/>
    <x v="0"/>
    <d v="2023-05-28T00:00:00"/>
    <n v="116"/>
    <s v="High"/>
    <n v="2.6"/>
    <x v="0"/>
    <x v="0"/>
    <x v="2"/>
    <n v="3"/>
  </r>
  <r>
    <s v="Call_7780"/>
    <s v="C0010"/>
    <n v="122"/>
    <n v="2.0333333333333332"/>
    <x v="0"/>
    <x v="4"/>
    <d v="2023-05-28T00:00:00"/>
    <n v="45"/>
    <s v="Low"/>
    <n v="4.2"/>
    <x v="0"/>
    <x v="0"/>
    <x v="1"/>
    <n v="4"/>
  </r>
  <r>
    <s v="Call_7781"/>
    <s v="C0011"/>
    <n v="98"/>
    <n v="1.6333333333333333"/>
    <x v="0"/>
    <x v="3"/>
    <d v="2023-05-29T00:00:00"/>
    <n v="35"/>
    <s v="Low"/>
    <n v="4.5"/>
    <x v="0"/>
    <x v="1"/>
    <x v="0"/>
    <n v="5"/>
  </r>
  <r>
    <s v="Call_7782"/>
    <s v="C0009"/>
    <n v="110"/>
    <n v="1.8333333333333333"/>
    <x v="0"/>
    <x v="0"/>
    <d v="2023-05-29T00:00:00"/>
    <n v="100"/>
    <s v="Medium"/>
    <n v="4.4000000000000004"/>
    <x v="0"/>
    <x v="1"/>
    <x v="0"/>
    <n v="4"/>
  </r>
  <r>
    <s v="Call_7783"/>
    <s v="C0009"/>
    <n v="62"/>
    <n v="1.0333333333333334"/>
    <x v="0"/>
    <x v="2"/>
    <d v="2023-05-30T00:00:00"/>
    <n v="125"/>
    <s v="High"/>
    <n v="3.5"/>
    <x v="0"/>
    <x v="2"/>
    <x v="0"/>
    <n v="4"/>
  </r>
  <r>
    <s v="Call_7784"/>
    <s v="C0010"/>
    <n v="134"/>
    <n v="2.2333333333333334"/>
    <x v="0"/>
    <x v="4"/>
    <d v="2023-05-30T00:00:00"/>
    <n v="120"/>
    <s v="High"/>
    <n v="3"/>
    <x v="0"/>
    <x v="2"/>
    <x v="1"/>
    <n v="3"/>
  </r>
  <r>
    <s v="Call_7785"/>
    <s v="C0015"/>
    <n v="94"/>
    <n v="1.5666666666666667"/>
    <x v="0"/>
    <x v="1"/>
    <d v="2023-05-30T00:00:00"/>
    <n v="180"/>
    <s v="Very High"/>
    <n v="4.7"/>
    <x v="0"/>
    <x v="2"/>
    <x v="0"/>
    <n v="5"/>
  </r>
  <r>
    <s v="Call_7786"/>
    <s v="C0007"/>
    <n v="63"/>
    <n v="1.05"/>
    <x v="0"/>
    <x v="0"/>
    <d v="2023-05-30T00:00:00"/>
    <n v="44"/>
    <s v="Low"/>
    <n v="3"/>
    <x v="0"/>
    <x v="2"/>
    <x v="0"/>
    <n v="3"/>
  </r>
  <r>
    <s v="Call_7787"/>
    <s v="C0006"/>
    <n v="95"/>
    <n v="1.5833333333333333"/>
    <x v="0"/>
    <x v="4"/>
    <d v="2023-05-30T00:00:00"/>
    <n v="86"/>
    <s v="Medium"/>
    <n v="3.6"/>
    <x v="0"/>
    <x v="2"/>
    <x v="0"/>
    <n v="4"/>
  </r>
  <r>
    <s v="Call_7788"/>
    <s v="C0010"/>
    <n v="106"/>
    <n v="1.7666666666666666"/>
    <x v="0"/>
    <x v="4"/>
    <d v="2023-05-31T00:00:00"/>
    <n v="120"/>
    <s v="High"/>
    <n v="4.0999999999999996"/>
    <x v="0"/>
    <x v="3"/>
    <x v="0"/>
    <n v="4"/>
  </r>
  <r>
    <s v="Call_7789"/>
    <s v="C0014"/>
    <n v="94"/>
    <n v="1.5666666666666667"/>
    <x v="0"/>
    <x v="1"/>
    <d v="2023-05-31T00:00:00"/>
    <n v="100"/>
    <s v="Medium"/>
    <n v="3.7"/>
    <x v="0"/>
    <x v="3"/>
    <x v="0"/>
    <n v="4"/>
  </r>
  <r>
    <s v="Call_7790"/>
    <s v="C0014"/>
    <n v="51"/>
    <n v="0.85"/>
    <x v="1"/>
    <x v="1"/>
    <d v="2023-06-01T00:00:00"/>
    <n v="108"/>
    <s v="High"/>
    <n v="4.5"/>
    <x v="0"/>
    <x v="4"/>
    <x v="2"/>
    <n v="5"/>
  </r>
  <r>
    <s v="Call_7791"/>
    <s v="C0008"/>
    <n v="39"/>
    <n v="0.65"/>
    <x v="1"/>
    <x v="1"/>
    <d v="2023-06-01T00:00:00"/>
    <n v="46"/>
    <s v="Low"/>
    <n v="4.5999999999999996"/>
    <x v="0"/>
    <x v="4"/>
    <x v="2"/>
    <n v="5"/>
  </r>
  <r>
    <s v="Call_7792"/>
    <s v="C0013"/>
    <n v="111"/>
    <n v="1.85"/>
    <x v="0"/>
    <x v="4"/>
    <d v="2023-06-01T00:00:00"/>
    <n v="210"/>
    <s v="Very High"/>
    <n v="4.3"/>
    <x v="0"/>
    <x v="4"/>
    <x v="0"/>
    <n v="4"/>
  </r>
  <r>
    <s v="Call_7793"/>
    <s v="C0012"/>
    <n v="141"/>
    <n v="2.35"/>
    <x v="0"/>
    <x v="2"/>
    <d v="2023-06-03T00:00:00"/>
    <n v="54"/>
    <s v="Medium"/>
    <n v="4.8"/>
    <x v="0"/>
    <x v="6"/>
    <x v="1"/>
    <n v="5"/>
  </r>
  <r>
    <s v="Call_7794"/>
    <s v="C0007"/>
    <n v="147"/>
    <n v="2.4500000000000002"/>
    <x v="0"/>
    <x v="4"/>
    <d v="2023-06-03T00:00:00"/>
    <n v="115"/>
    <s v="High"/>
    <n v="4.7"/>
    <x v="0"/>
    <x v="6"/>
    <x v="1"/>
    <n v="5"/>
  </r>
  <r>
    <s v="Call_7795"/>
    <s v="C0015"/>
    <n v="49"/>
    <n v="0.81666666666666665"/>
    <x v="1"/>
    <x v="1"/>
    <d v="2023-06-04T00:00:00"/>
    <n v="100"/>
    <s v="Medium"/>
    <n v="2.2000000000000002"/>
    <x v="0"/>
    <x v="0"/>
    <x v="2"/>
    <n v="2"/>
  </r>
  <r>
    <s v="Call_7796"/>
    <s v="C0005"/>
    <n v="75"/>
    <n v="1.25"/>
    <x v="0"/>
    <x v="4"/>
    <d v="2023-06-04T00:00:00"/>
    <n v="38"/>
    <s v="Low"/>
    <n v="4.4000000000000004"/>
    <x v="0"/>
    <x v="0"/>
    <x v="0"/>
    <n v="4"/>
  </r>
  <r>
    <s v="Call_7797"/>
    <s v="C0012"/>
    <n v="48"/>
    <n v="0.8"/>
    <x v="1"/>
    <x v="2"/>
    <d v="2023-06-05T00:00:00"/>
    <n v="120"/>
    <s v="High"/>
    <n v="4.0999999999999996"/>
    <x v="0"/>
    <x v="1"/>
    <x v="2"/>
    <n v="4"/>
  </r>
  <r>
    <s v="Call_7798"/>
    <s v="C0009"/>
    <n v="48"/>
    <n v="0.8"/>
    <x v="1"/>
    <x v="2"/>
    <d v="2023-06-05T00:00:00"/>
    <n v="120"/>
    <s v="High"/>
    <n v="4.0999999999999996"/>
    <x v="0"/>
    <x v="1"/>
    <x v="2"/>
    <n v="4"/>
  </r>
  <r>
    <s v="Call_7799"/>
    <s v="C0004"/>
    <n v="138"/>
    <n v="2.2999999999999998"/>
    <x v="0"/>
    <x v="1"/>
    <d v="2023-06-05T00:00:00"/>
    <n v="29"/>
    <s v="Low"/>
    <n v="4.4000000000000004"/>
    <x v="0"/>
    <x v="1"/>
    <x v="1"/>
    <n v="4"/>
  </r>
  <r>
    <s v="Call_7800"/>
    <s v="C0006"/>
    <n v="144"/>
    <n v="2.4"/>
    <x v="0"/>
    <x v="1"/>
    <d v="2023-06-06T00:00:00"/>
    <n v="25"/>
    <s v="Low"/>
    <n v="3.7"/>
    <x v="0"/>
    <x v="2"/>
    <x v="1"/>
    <n v="4"/>
  </r>
  <r>
    <s v="Call_7801"/>
    <s v="C0001"/>
    <n v="119"/>
    <n v="1.9833333333333334"/>
    <x v="0"/>
    <x v="4"/>
    <d v="2023-06-07T00:00:00"/>
    <n v="116"/>
    <s v="High"/>
    <n v="3.8"/>
    <x v="0"/>
    <x v="3"/>
    <x v="0"/>
    <n v="4"/>
  </r>
  <r>
    <s v="Call_7802"/>
    <s v="C0004"/>
    <n v="101"/>
    <n v="1.6833333333333333"/>
    <x v="0"/>
    <x v="2"/>
    <d v="2023-06-08T00:00:00"/>
    <n v="132"/>
    <s v="High"/>
    <n v="4.3"/>
    <x v="0"/>
    <x v="4"/>
    <x v="0"/>
    <n v="4"/>
  </r>
  <r>
    <s v="Call_7803"/>
    <s v="C0006"/>
    <n v="59"/>
    <n v="0.98333333333333328"/>
    <x v="1"/>
    <x v="4"/>
    <d v="2023-06-09T00:00:00"/>
    <n v="90"/>
    <s v="Medium"/>
    <n v="3.5"/>
    <x v="0"/>
    <x v="5"/>
    <x v="2"/>
    <n v="4"/>
  </r>
  <r>
    <s v="Call_7804"/>
    <s v="C0013"/>
    <n v="125"/>
    <n v="2.0833333333333335"/>
    <x v="0"/>
    <x v="0"/>
    <d v="2023-06-09T00:00:00"/>
    <n v="87"/>
    <s v="Medium"/>
    <n v="4.0999999999999996"/>
    <x v="0"/>
    <x v="5"/>
    <x v="1"/>
    <n v="4"/>
  </r>
  <r>
    <s v="Call_7805"/>
    <s v="C0010"/>
    <n v="147"/>
    <n v="2.4500000000000002"/>
    <x v="0"/>
    <x v="4"/>
    <d v="2023-06-09T00:00:00"/>
    <n v="140"/>
    <s v="High"/>
    <n v="4.2"/>
    <x v="0"/>
    <x v="5"/>
    <x v="1"/>
    <n v="4"/>
  </r>
  <r>
    <s v="Call_7806"/>
    <s v="C0002"/>
    <n v="76"/>
    <n v="1.2666666666666666"/>
    <x v="0"/>
    <x v="4"/>
    <d v="2023-06-09T00:00:00"/>
    <n v="164"/>
    <s v="Very High"/>
    <n v="4.5"/>
    <x v="0"/>
    <x v="5"/>
    <x v="0"/>
    <n v="5"/>
  </r>
  <r>
    <s v="Call_7807"/>
    <s v="C0007"/>
    <n v="99"/>
    <n v="1.65"/>
    <x v="0"/>
    <x v="2"/>
    <d v="2023-06-10T00:00:00"/>
    <n v="180"/>
    <s v="Very High"/>
    <n v="3.8"/>
    <x v="0"/>
    <x v="6"/>
    <x v="0"/>
    <n v="4"/>
  </r>
  <r>
    <s v="Call_7808"/>
    <s v="C0008"/>
    <n v="111"/>
    <n v="1.85"/>
    <x v="0"/>
    <x v="3"/>
    <d v="2023-06-11T00:00:00"/>
    <n v="22"/>
    <s v="Low"/>
    <n v="4.0999999999999996"/>
    <x v="0"/>
    <x v="0"/>
    <x v="0"/>
    <n v="4"/>
  </r>
  <r>
    <s v="Call_7809"/>
    <s v="C0011"/>
    <n v="147"/>
    <n v="2.4500000000000002"/>
    <x v="0"/>
    <x v="0"/>
    <d v="2023-06-11T00:00:00"/>
    <n v="82"/>
    <s v="Medium"/>
    <n v="4.4000000000000004"/>
    <x v="0"/>
    <x v="0"/>
    <x v="1"/>
    <n v="4"/>
  </r>
  <r>
    <s v="Call_7810"/>
    <s v="C0003"/>
    <n v="141"/>
    <n v="2.35"/>
    <x v="0"/>
    <x v="2"/>
    <d v="2023-06-11T00:00:00"/>
    <n v="100"/>
    <s v="Medium"/>
    <n v="4.5999999999999996"/>
    <x v="0"/>
    <x v="0"/>
    <x v="1"/>
    <n v="5"/>
  </r>
  <r>
    <s v="Call_7811"/>
    <s v="C0002"/>
    <n v="71"/>
    <n v="1.1833333333333333"/>
    <x v="0"/>
    <x v="4"/>
    <d v="2023-06-12T00:00:00"/>
    <n v="52"/>
    <s v="Medium"/>
    <n v="3.4"/>
    <x v="0"/>
    <x v="1"/>
    <x v="0"/>
    <n v="3"/>
  </r>
  <r>
    <s v="Call_7812"/>
    <s v="C0002"/>
    <n v="121"/>
    <n v="2.0166666666666666"/>
    <x v="0"/>
    <x v="0"/>
    <d v="2023-06-13T00:00:00"/>
    <n v="84"/>
    <s v="Medium"/>
    <n v="4.5999999999999996"/>
    <x v="0"/>
    <x v="2"/>
    <x v="1"/>
    <n v="5"/>
  </r>
  <r>
    <s v="Call_7813"/>
    <s v="C0002"/>
    <n v="60"/>
    <n v="1"/>
    <x v="1"/>
    <x v="0"/>
    <d v="2023-06-13T00:00:00"/>
    <n v="37"/>
    <s v="Low"/>
    <n v="3.9"/>
    <x v="0"/>
    <x v="2"/>
    <x v="2"/>
    <n v="4"/>
  </r>
  <r>
    <s v="Call_7814"/>
    <s v="C0015"/>
    <n v="158"/>
    <n v="2.6333333333333333"/>
    <x v="0"/>
    <x v="2"/>
    <d v="2023-06-14T00:00:00"/>
    <n v="190"/>
    <s v="Very High"/>
    <n v="4"/>
    <x v="0"/>
    <x v="3"/>
    <x v="1"/>
    <n v="4"/>
  </r>
  <r>
    <s v="Call_7815"/>
    <s v="C0010"/>
    <n v="159"/>
    <n v="2.65"/>
    <x v="0"/>
    <x v="1"/>
    <d v="2023-06-14T00:00:00"/>
    <n v="66"/>
    <s v="Medium"/>
    <n v="3.4"/>
    <x v="0"/>
    <x v="3"/>
    <x v="1"/>
    <n v="3"/>
  </r>
  <r>
    <s v="Call_7816"/>
    <s v="C0004"/>
    <n v="70"/>
    <n v="1.1666666666666667"/>
    <x v="0"/>
    <x v="4"/>
    <d v="2023-06-15T00:00:00"/>
    <n v="116"/>
    <s v="High"/>
    <n v="3.2"/>
    <x v="0"/>
    <x v="4"/>
    <x v="0"/>
    <n v="3"/>
  </r>
  <r>
    <s v="Call_7817"/>
    <s v="C0012"/>
    <n v="78"/>
    <n v="1.3"/>
    <x v="0"/>
    <x v="3"/>
    <d v="2023-06-15T00:00:00"/>
    <n v="28"/>
    <s v="Low"/>
    <n v="3.9"/>
    <x v="0"/>
    <x v="4"/>
    <x v="0"/>
    <n v="4"/>
  </r>
  <r>
    <s v="Call_7818"/>
    <s v="C0011"/>
    <n v="103"/>
    <n v="1.7166666666666666"/>
    <x v="0"/>
    <x v="4"/>
    <d v="2023-06-15T00:00:00"/>
    <n v="120"/>
    <s v="High"/>
    <n v="5"/>
    <x v="0"/>
    <x v="4"/>
    <x v="0"/>
    <n v="5"/>
  </r>
  <r>
    <s v="Call_7819"/>
    <s v="C0005"/>
    <n v="108"/>
    <n v="1.8"/>
    <x v="0"/>
    <x v="2"/>
    <d v="2023-06-15T00:00:00"/>
    <n v="56"/>
    <s v="Medium"/>
    <n v="3.5"/>
    <x v="0"/>
    <x v="4"/>
    <x v="0"/>
    <n v="4"/>
  </r>
  <r>
    <s v="Call_7820"/>
    <s v="C0005"/>
    <n v="44"/>
    <n v="0.73333333333333328"/>
    <x v="1"/>
    <x v="0"/>
    <d v="2023-06-15T00:00:00"/>
    <n v="170"/>
    <s v="Very High"/>
    <n v="3.8"/>
    <x v="0"/>
    <x v="4"/>
    <x v="2"/>
    <n v="4"/>
  </r>
  <r>
    <s v="Call_7821"/>
    <s v="C0012"/>
    <n v="127"/>
    <n v="2.1166666666666667"/>
    <x v="0"/>
    <x v="2"/>
    <d v="2023-06-16T00:00:00"/>
    <n v="200"/>
    <s v="Very High"/>
    <n v="4.8"/>
    <x v="0"/>
    <x v="5"/>
    <x v="1"/>
    <n v="5"/>
  </r>
  <r>
    <s v="Call_7822"/>
    <s v="C0011"/>
    <n v="132"/>
    <n v="2.2000000000000002"/>
    <x v="0"/>
    <x v="4"/>
    <d v="2023-06-17T00:00:00"/>
    <n v="50"/>
    <s v="Low"/>
    <n v="4.2"/>
    <x v="0"/>
    <x v="6"/>
    <x v="1"/>
    <n v="4"/>
  </r>
  <r>
    <s v="Call_7823"/>
    <s v="C0003"/>
    <n v="106"/>
    <n v="1.7666666666666666"/>
    <x v="0"/>
    <x v="3"/>
    <d v="2023-06-17T00:00:00"/>
    <n v="112"/>
    <s v="High"/>
    <n v="3.7"/>
    <x v="0"/>
    <x v="6"/>
    <x v="0"/>
    <n v="4"/>
  </r>
  <r>
    <s v="Call_7824"/>
    <s v="C0008"/>
    <n v="107"/>
    <n v="1.7833333333333334"/>
    <x v="0"/>
    <x v="4"/>
    <d v="2023-06-18T00:00:00"/>
    <n v="39"/>
    <s v="Low"/>
    <n v="4.8"/>
    <x v="0"/>
    <x v="0"/>
    <x v="0"/>
    <n v="5"/>
  </r>
  <r>
    <s v="Call_7825"/>
    <s v="C0010"/>
    <n v="85"/>
    <n v="1.4166666666666667"/>
    <x v="0"/>
    <x v="3"/>
    <d v="2023-06-18T00:00:00"/>
    <n v="38"/>
    <s v="Low"/>
    <n v="4.8"/>
    <x v="0"/>
    <x v="0"/>
    <x v="0"/>
    <n v="5"/>
  </r>
  <r>
    <s v="Call_7826"/>
    <s v="C0007"/>
    <n v="49"/>
    <n v="0.81666666666666665"/>
    <x v="1"/>
    <x v="4"/>
    <d v="2023-06-19T00:00:00"/>
    <n v="84"/>
    <s v="Medium"/>
    <n v="2.9"/>
    <x v="0"/>
    <x v="1"/>
    <x v="2"/>
    <n v="3"/>
  </r>
  <r>
    <s v="Call_7827"/>
    <s v="C0002"/>
    <n v="117"/>
    <n v="1.95"/>
    <x v="0"/>
    <x v="2"/>
    <d v="2023-06-20T00:00:00"/>
    <n v="82"/>
    <s v="Medium"/>
    <n v="3.5"/>
    <x v="0"/>
    <x v="2"/>
    <x v="0"/>
    <n v="4"/>
  </r>
  <r>
    <s v="Call_7828"/>
    <s v="C0008"/>
    <n v="136"/>
    <n v="2.2666666666666666"/>
    <x v="0"/>
    <x v="3"/>
    <d v="2023-06-20T00:00:00"/>
    <n v="37"/>
    <s v="Low"/>
    <n v="0.9"/>
    <x v="0"/>
    <x v="2"/>
    <x v="1"/>
    <n v="1"/>
  </r>
  <r>
    <s v="Call_7829"/>
    <s v="C0005"/>
    <n v="130"/>
    <n v="2.1666666666666665"/>
    <x v="0"/>
    <x v="1"/>
    <d v="2023-06-21T00:00:00"/>
    <n v="87"/>
    <s v="Medium"/>
    <n v="3.4"/>
    <x v="0"/>
    <x v="3"/>
    <x v="1"/>
    <n v="3"/>
  </r>
  <r>
    <s v="Call_7830"/>
    <s v="C0005"/>
    <n v="73"/>
    <n v="1.2166666666666666"/>
    <x v="0"/>
    <x v="1"/>
    <d v="2023-06-21T00:00:00"/>
    <n v="75"/>
    <s v="Medium"/>
    <n v="2.7"/>
    <x v="0"/>
    <x v="3"/>
    <x v="0"/>
    <n v="3"/>
  </r>
  <r>
    <s v="Call_7831"/>
    <s v="C0007"/>
    <n v="80"/>
    <n v="1.3333333333333333"/>
    <x v="0"/>
    <x v="4"/>
    <d v="2023-06-21T00:00:00"/>
    <n v="32"/>
    <s v="Low"/>
    <n v="4.7"/>
    <x v="0"/>
    <x v="3"/>
    <x v="0"/>
    <n v="5"/>
  </r>
  <r>
    <s v="Call_7832"/>
    <s v="C0001"/>
    <n v="44"/>
    <n v="0.73333333333333328"/>
    <x v="1"/>
    <x v="2"/>
    <d v="2023-06-21T00:00:00"/>
    <n v="33"/>
    <s v="Low"/>
    <n v="3"/>
    <x v="0"/>
    <x v="3"/>
    <x v="2"/>
    <n v="3"/>
  </r>
  <r>
    <s v="Call_7833"/>
    <s v="C0001"/>
    <n v="102"/>
    <n v="1.7"/>
    <x v="0"/>
    <x v="0"/>
    <d v="2023-06-21T00:00:00"/>
    <n v="76"/>
    <s v="Medium"/>
    <n v="4.2"/>
    <x v="0"/>
    <x v="3"/>
    <x v="0"/>
    <n v="4"/>
  </r>
  <r>
    <s v="Call_7834"/>
    <s v="C0015"/>
    <n v="74"/>
    <n v="1.2333333333333334"/>
    <x v="0"/>
    <x v="0"/>
    <d v="2023-06-21T00:00:00"/>
    <n v="117"/>
    <s v="High"/>
    <n v="4.8"/>
    <x v="0"/>
    <x v="3"/>
    <x v="0"/>
    <n v="5"/>
  </r>
  <r>
    <s v="Call_7835"/>
    <s v="C0007"/>
    <n v="52"/>
    <n v="0.8666666666666667"/>
    <x v="1"/>
    <x v="2"/>
    <d v="2023-06-23T00:00:00"/>
    <n v="70"/>
    <s v="Medium"/>
    <n v="4.0999999999999996"/>
    <x v="0"/>
    <x v="5"/>
    <x v="2"/>
    <n v="4"/>
  </r>
  <r>
    <s v="Call_7836"/>
    <s v="C0007"/>
    <n v="74"/>
    <n v="1.2333333333333334"/>
    <x v="0"/>
    <x v="1"/>
    <d v="2023-06-23T00:00:00"/>
    <n v="37"/>
    <s v="Low"/>
    <n v="2.7"/>
    <x v="0"/>
    <x v="5"/>
    <x v="0"/>
    <n v="3"/>
  </r>
  <r>
    <s v="Call_7837"/>
    <s v="C0005"/>
    <n v="96"/>
    <n v="1.6"/>
    <x v="0"/>
    <x v="0"/>
    <d v="2023-06-23T00:00:00"/>
    <n v="46"/>
    <s v="Low"/>
    <n v="2.9"/>
    <x v="0"/>
    <x v="5"/>
    <x v="0"/>
    <n v="3"/>
  </r>
  <r>
    <s v="Call_7838"/>
    <s v="C0013"/>
    <n v="104"/>
    <n v="1.7333333333333334"/>
    <x v="0"/>
    <x v="4"/>
    <d v="2023-06-23T00:00:00"/>
    <n v="136"/>
    <s v="High"/>
    <n v="5"/>
    <x v="0"/>
    <x v="5"/>
    <x v="0"/>
    <n v="5"/>
  </r>
  <r>
    <s v="Call_7839"/>
    <s v="C0005"/>
    <n v="123"/>
    <n v="2.0499999999999998"/>
    <x v="0"/>
    <x v="0"/>
    <d v="2023-06-24T00:00:00"/>
    <n v="44"/>
    <s v="Low"/>
    <n v="4.5999999999999996"/>
    <x v="0"/>
    <x v="6"/>
    <x v="1"/>
    <n v="5"/>
  </r>
  <r>
    <s v="Call_7840"/>
    <s v="C0009"/>
    <n v="100"/>
    <n v="1.6666666666666667"/>
    <x v="0"/>
    <x v="3"/>
    <d v="2023-06-24T00:00:00"/>
    <n v="69"/>
    <s v="Medium"/>
    <n v="3"/>
    <x v="0"/>
    <x v="6"/>
    <x v="0"/>
    <n v="3"/>
  </r>
  <r>
    <s v="Call_7841"/>
    <s v="C0013"/>
    <n v="35"/>
    <n v="0.58333333333333337"/>
    <x v="1"/>
    <x v="2"/>
    <d v="2023-06-25T00:00:00"/>
    <n v="86"/>
    <s v="Medium"/>
    <n v="4.5999999999999996"/>
    <x v="0"/>
    <x v="0"/>
    <x v="2"/>
    <n v="5"/>
  </r>
  <r>
    <s v="Call_7842"/>
    <s v="C0007"/>
    <n v="123"/>
    <n v="2.0499999999999998"/>
    <x v="0"/>
    <x v="4"/>
    <d v="2023-06-25T00:00:00"/>
    <n v="68"/>
    <s v="Medium"/>
    <n v="4.5"/>
    <x v="0"/>
    <x v="0"/>
    <x v="1"/>
    <n v="5"/>
  </r>
  <r>
    <s v="Call_7843"/>
    <s v="C0002"/>
    <n v="133"/>
    <n v="2.2166666666666668"/>
    <x v="0"/>
    <x v="2"/>
    <d v="2023-06-26T00:00:00"/>
    <n v="21"/>
    <s v="Low"/>
    <n v="3.7"/>
    <x v="0"/>
    <x v="1"/>
    <x v="1"/>
    <n v="4"/>
  </r>
  <r>
    <s v="Call_7844"/>
    <s v="C0005"/>
    <n v="126"/>
    <n v="2.1"/>
    <x v="0"/>
    <x v="1"/>
    <d v="2023-06-26T00:00:00"/>
    <n v="190"/>
    <s v="Very High"/>
    <n v="2.4"/>
    <x v="0"/>
    <x v="1"/>
    <x v="1"/>
    <n v="2"/>
  </r>
  <r>
    <s v="Call_7845"/>
    <s v="C0007"/>
    <n v="39"/>
    <n v="0.65"/>
    <x v="1"/>
    <x v="0"/>
    <d v="2023-06-26T00:00:00"/>
    <n v="176"/>
    <s v="Very High"/>
    <n v="4.3"/>
    <x v="0"/>
    <x v="1"/>
    <x v="2"/>
    <n v="4"/>
  </r>
  <r>
    <s v="Call_7846"/>
    <s v="C0015"/>
    <n v="31"/>
    <n v="0.51666666666666672"/>
    <x v="1"/>
    <x v="4"/>
    <d v="2023-06-26T00:00:00"/>
    <n v="172"/>
    <s v="Very High"/>
    <n v="3.9"/>
    <x v="0"/>
    <x v="1"/>
    <x v="2"/>
    <n v="4"/>
  </r>
  <r>
    <s v="Call_7847"/>
    <s v="C0011"/>
    <n v="25"/>
    <n v="0.41666666666666669"/>
    <x v="2"/>
    <x v="2"/>
    <d v="2023-06-26T00:00:00"/>
    <n v="84"/>
    <s v="Medium"/>
    <n v="4.5"/>
    <x v="0"/>
    <x v="1"/>
    <x v="3"/>
    <n v="5"/>
  </r>
  <r>
    <s v="Call_7848"/>
    <s v="C0004"/>
    <n v="132"/>
    <n v="2.2000000000000002"/>
    <x v="0"/>
    <x v="3"/>
    <d v="2023-06-27T00:00:00"/>
    <n v="42"/>
    <s v="Low"/>
    <n v="5"/>
    <x v="0"/>
    <x v="2"/>
    <x v="1"/>
    <n v="5"/>
  </r>
  <r>
    <s v="Call_7849"/>
    <s v="C0013"/>
    <n v="63"/>
    <n v="1.05"/>
    <x v="0"/>
    <x v="1"/>
    <d v="2023-06-27T00:00:00"/>
    <n v="70"/>
    <s v="Medium"/>
    <n v="1.6"/>
    <x v="0"/>
    <x v="2"/>
    <x v="0"/>
    <n v="2"/>
  </r>
  <r>
    <s v="Call_7850"/>
    <s v="C0009"/>
    <n v="135"/>
    <n v="2.25"/>
    <x v="0"/>
    <x v="3"/>
    <d v="2023-06-27T00:00:00"/>
    <n v="60"/>
    <s v="Medium"/>
    <n v="4.3"/>
    <x v="0"/>
    <x v="2"/>
    <x v="1"/>
    <n v="4"/>
  </r>
  <r>
    <s v="Call_7851"/>
    <s v="C0010"/>
    <n v="101"/>
    <n v="1.6833333333333333"/>
    <x v="0"/>
    <x v="1"/>
    <d v="2023-06-27T00:00:00"/>
    <n v="84"/>
    <s v="Medium"/>
    <n v="3.5"/>
    <x v="0"/>
    <x v="2"/>
    <x v="0"/>
    <n v="4"/>
  </r>
  <r>
    <s v="Call_7852"/>
    <s v="C0002"/>
    <n v="80"/>
    <n v="1.3333333333333333"/>
    <x v="0"/>
    <x v="0"/>
    <d v="2023-06-28T00:00:00"/>
    <n v="68"/>
    <s v="Medium"/>
    <n v="3.1"/>
    <x v="0"/>
    <x v="3"/>
    <x v="0"/>
    <n v="3"/>
  </r>
  <r>
    <s v="Call_7853"/>
    <s v="C0001"/>
    <n v="28"/>
    <n v="0.46666666666666667"/>
    <x v="2"/>
    <x v="0"/>
    <d v="2023-06-28T00:00:00"/>
    <n v="44"/>
    <s v="Low"/>
    <n v="2.9"/>
    <x v="0"/>
    <x v="3"/>
    <x v="3"/>
    <n v="3"/>
  </r>
  <r>
    <s v="Call_7854"/>
    <s v="C0010"/>
    <n v="102"/>
    <n v="1.7"/>
    <x v="0"/>
    <x v="3"/>
    <d v="2023-06-29T00:00:00"/>
    <n v="99"/>
    <s v="Medium"/>
    <n v="3.2"/>
    <x v="0"/>
    <x v="4"/>
    <x v="0"/>
    <n v="3"/>
  </r>
  <r>
    <s v="Call_7855"/>
    <s v="C0013"/>
    <n v="60"/>
    <n v="1"/>
    <x v="1"/>
    <x v="3"/>
    <d v="2023-06-30T00:00:00"/>
    <n v="66"/>
    <s v="Medium"/>
    <n v="3.2"/>
    <x v="0"/>
    <x v="5"/>
    <x v="2"/>
    <n v="3"/>
  </r>
  <r>
    <s v="Call_7856"/>
    <s v="C0014"/>
    <n v="103"/>
    <n v="1.7166666666666666"/>
    <x v="0"/>
    <x v="3"/>
    <d v="2023-06-30T00:00:00"/>
    <n v="102"/>
    <s v="High"/>
    <n v="4.5"/>
    <x v="0"/>
    <x v="5"/>
    <x v="0"/>
    <n v="5"/>
  </r>
  <r>
    <s v="Call_7857"/>
    <s v="C0002"/>
    <n v="90"/>
    <n v="1.5"/>
    <x v="0"/>
    <x v="0"/>
    <d v="2023-07-01T00:00:00"/>
    <n v="129"/>
    <s v="High"/>
    <n v="3.9"/>
    <x v="1"/>
    <x v="6"/>
    <x v="0"/>
    <n v="4"/>
  </r>
  <r>
    <s v="Call_7858"/>
    <s v="C0012"/>
    <n v="88"/>
    <n v="1.4666666666666666"/>
    <x v="0"/>
    <x v="3"/>
    <d v="2023-07-01T00:00:00"/>
    <n v="80"/>
    <s v="Medium"/>
    <n v="4.2"/>
    <x v="1"/>
    <x v="6"/>
    <x v="0"/>
    <n v="4"/>
  </r>
  <r>
    <s v="Call_7859"/>
    <s v="C0014"/>
    <n v="37"/>
    <n v="0.6166666666666667"/>
    <x v="1"/>
    <x v="3"/>
    <d v="2023-07-01T00:00:00"/>
    <n v="54"/>
    <s v="Medium"/>
    <n v="1.8"/>
    <x v="1"/>
    <x v="6"/>
    <x v="2"/>
    <n v="2"/>
  </r>
  <r>
    <s v="Call_7860"/>
    <s v="C0001"/>
    <n v="142"/>
    <n v="2.3666666666666667"/>
    <x v="0"/>
    <x v="0"/>
    <d v="2023-07-01T00:00:00"/>
    <n v="116"/>
    <s v="High"/>
    <n v="4.2"/>
    <x v="1"/>
    <x v="6"/>
    <x v="1"/>
    <n v="4"/>
  </r>
  <r>
    <s v="Call_7861"/>
    <s v="C0001"/>
    <n v="153"/>
    <n v="2.5499999999999998"/>
    <x v="0"/>
    <x v="2"/>
    <d v="2023-07-01T00:00:00"/>
    <n v="102"/>
    <s v="High"/>
    <n v="3.1"/>
    <x v="1"/>
    <x v="6"/>
    <x v="1"/>
    <n v="3"/>
  </r>
  <r>
    <s v="Call_7862"/>
    <s v="C0006"/>
    <n v="128"/>
    <n v="2.1333333333333333"/>
    <x v="0"/>
    <x v="1"/>
    <d v="2023-07-01T00:00:00"/>
    <n v="140"/>
    <s v="High"/>
    <n v="4.3"/>
    <x v="1"/>
    <x v="6"/>
    <x v="1"/>
    <n v="4"/>
  </r>
  <r>
    <s v="Call_7863"/>
    <s v="C0013"/>
    <n v="110"/>
    <n v="1.8333333333333333"/>
    <x v="0"/>
    <x v="1"/>
    <d v="2023-07-02T00:00:00"/>
    <n v="104"/>
    <s v="High"/>
    <n v="4.4000000000000004"/>
    <x v="1"/>
    <x v="0"/>
    <x v="0"/>
    <n v="4"/>
  </r>
  <r>
    <s v="Call_7864"/>
    <s v="C0006"/>
    <n v="139"/>
    <n v="2.3166666666666669"/>
    <x v="0"/>
    <x v="3"/>
    <d v="2023-07-02T00:00:00"/>
    <n v="81"/>
    <s v="Medium"/>
    <n v="4.4000000000000004"/>
    <x v="1"/>
    <x v="0"/>
    <x v="1"/>
    <n v="4"/>
  </r>
  <r>
    <s v="Call_7865"/>
    <s v="C0010"/>
    <n v="109"/>
    <n v="1.8166666666666667"/>
    <x v="0"/>
    <x v="4"/>
    <d v="2023-07-04T00:00:00"/>
    <n v="140"/>
    <s v="High"/>
    <n v="2.4"/>
    <x v="1"/>
    <x v="2"/>
    <x v="0"/>
    <n v="2"/>
  </r>
  <r>
    <s v="Call_7866"/>
    <s v="C0004"/>
    <n v="57"/>
    <n v="0.95"/>
    <x v="1"/>
    <x v="0"/>
    <d v="2023-07-05T00:00:00"/>
    <n v="120"/>
    <s v="High"/>
    <n v="3.5"/>
    <x v="1"/>
    <x v="3"/>
    <x v="2"/>
    <n v="4"/>
  </r>
  <r>
    <s v="Call_7867"/>
    <s v="C0010"/>
    <n v="68"/>
    <n v="1.1333333333333333"/>
    <x v="0"/>
    <x v="3"/>
    <d v="2023-07-05T00:00:00"/>
    <n v="41"/>
    <s v="Low"/>
    <n v="3.1"/>
    <x v="1"/>
    <x v="3"/>
    <x v="0"/>
    <n v="3"/>
  </r>
  <r>
    <s v="Call_7868"/>
    <s v="C0011"/>
    <n v="128"/>
    <n v="2.1333333333333333"/>
    <x v="0"/>
    <x v="3"/>
    <d v="2023-07-05T00:00:00"/>
    <n v="116"/>
    <s v="High"/>
    <n v="2.2999999999999998"/>
    <x v="1"/>
    <x v="3"/>
    <x v="1"/>
    <n v="2"/>
  </r>
  <r>
    <s v="Call_7869"/>
    <s v="C0003"/>
    <n v="102"/>
    <n v="1.7"/>
    <x v="0"/>
    <x v="0"/>
    <d v="2023-07-06T00:00:00"/>
    <n v="70"/>
    <s v="Medium"/>
    <n v="2.8"/>
    <x v="1"/>
    <x v="4"/>
    <x v="0"/>
    <n v="3"/>
  </r>
  <r>
    <s v="Call_7870"/>
    <s v="C0006"/>
    <n v="52"/>
    <n v="0.8666666666666667"/>
    <x v="1"/>
    <x v="2"/>
    <d v="2023-07-06T00:00:00"/>
    <n v="42"/>
    <s v="Low"/>
    <n v="4.5"/>
    <x v="1"/>
    <x v="4"/>
    <x v="2"/>
    <n v="5"/>
  </r>
  <r>
    <s v="Call_7871"/>
    <s v="C0011"/>
    <n v="55"/>
    <n v="0.91666666666666663"/>
    <x v="1"/>
    <x v="1"/>
    <d v="2023-07-07T00:00:00"/>
    <n v="112"/>
    <s v="High"/>
    <n v="4.5"/>
    <x v="1"/>
    <x v="5"/>
    <x v="2"/>
    <n v="5"/>
  </r>
  <r>
    <s v="Call_7872"/>
    <s v="C0014"/>
    <n v="107"/>
    <n v="1.7833333333333334"/>
    <x v="0"/>
    <x v="3"/>
    <d v="2023-07-07T00:00:00"/>
    <n v="20"/>
    <s v="Low"/>
    <n v="4.5"/>
    <x v="1"/>
    <x v="5"/>
    <x v="0"/>
    <n v="5"/>
  </r>
  <r>
    <s v="Call_7873"/>
    <s v="C0002"/>
    <n v="88"/>
    <n v="1.4666666666666666"/>
    <x v="0"/>
    <x v="2"/>
    <d v="2023-07-08T00:00:00"/>
    <n v="110"/>
    <s v="High"/>
    <n v="4.8"/>
    <x v="1"/>
    <x v="6"/>
    <x v="0"/>
    <n v="5"/>
  </r>
  <r>
    <s v="Call_7874"/>
    <s v="C0007"/>
    <n v="49"/>
    <n v="0.81666666666666665"/>
    <x v="1"/>
    <x v="2"/>
    <d v="2023-07-08T00:00:00"/>
    <n v="39"/>
    <s v="Low"/>
    <n v="4.5999999999999996"/>
    <x v="1"/>
    <x v="6"/>
    <x v="2"/>
    <n v="5"/>
  </r>
  <r>
    <s v="Call_7875"/>
    <s v="C0002"/>
    <n v="72"/>
    <n v="1.2"/>
    <x v="0"/>
    <x v="0"/>
    <d v="2023-07-08T00:00:00"/>
    <n v="76"/>
    <s v="Medium"/>
    <n v="4.5"/>
    <x v="1"/>
    <x v="6"/>
    <x v="0"/>
    <n v="5"/>
  </r>
  <r>
    <s v="Call_7876"/>
    <s v="C0004"/>
    <n v="50"/>
    <n v="0.83333333333333337"/>
    <x v="1"/>
    <x v="0"/>
    <d v="2023-07-08T00:00:00"/>
    <n v="40"/>
    <s v="Low"/>
    <n v="5"/>
    <x v="1"/>
    <x v="6"/>
    <x v="2"/>
    <n v="5"/>
  </r>
  <r>
    <s v="Call_7877"/>
    <s v="C0002"/>
    <n v="52"/>
    <n v="0.8666666666666667"/>
    <x v="1"/>
    <x v="3"/>
    <d v="2023-07-08T00:00:00"/>
    <n v="42"/>
    <s v="Low"/>
    <n v="4.8"/>
    <x v="1"/>
    <x v="6"/>
    <x v="2"/>
    <n v="5"/>
  </r>
  <r>
    <s v="Call_7878"/>
    <s v="C0005"/>
    <n v="85"/>
    <n v="1.4166666666666667"/>
    <x v="0"/>
    <x v="4"/>
    <d v="2023-07-09T00:00:00"/>
    <n v="215"/>
    <s v="Very High"/>
    <n v="3.5"/>
    <x v="1"/>
    <x v="0"/>
    <x v="0"/>
    <n v="4"/>
  </r>
  <r>
    <s v="Call_7879"/>
    <s v="C0009"/>
    <n v="98"/>
    <n v="1.6333333333333333"/>
    <x v="0"/>
    <x v="4"/>
    <d v="2023-07-10T00:00:00"/>
    <n v="130"/>
    <s v="High"/>
    <n v="3.4"/>
    <x v="1"/>
    <x v="1"/>
    <x v="0"/>
    <n v="3"/>
  </r>
  <r>
    <s v="Call_7880"/>
    <s v="C0015"/>
    <n v="52"/>
    <n v="0.8666666666666667"/>
    <x v="1"/>
    <x v="4"/>
    <d v="2023-07-10T00:00:00"/>
    <n v="190"/>
    <s v="Very High"/>
    <n v="3.3"/>
    <x v="1"/>
    <x v="1"/>
    <x v="2"/>
    <n v="3"/>
  </r>
  <r>
    <s v="Call_7881"/>
    <s v="C0011"/>
    <n v="154"/>
    <n v="2.5666666666666669"/>
    <x v="0"/>
    <x v="2"/>
    <d v="2023-07-10T00:00:00"/>
    <n v="164"/>
    <s v="Very High"/>
    <n v="4.9000000000000004"/>
    <x v="1"/>
    <x v="1"/>
    <x v="1"/>
    <n v="5"/>
  </r>
  <r>
    <s v="Call_7882"/>
    <s v="C0008"/>
    <n v="131"/>
    <n v="2.1833333333333331"/>
    <x v="0"/>
    <x v="1"/>
    <d v="2023-07-11T00:00:00"/>
    <n v="76"/>
    <s v="Medium"/>
    <n v="4.5"/>
    <x v="1"/>
    <x v="2"/>
    <x v="1"/>
    <n v="5"/>
  </r>
  <r>
    <s v="Call_7883"/>
    <s v="C0005"/>
    <n v="73"/>
    <n v="1.2166666666666666"/>
    <x v="0"/>
    <x v="1"/>
    <d v="2023-07-12T00:00:00"/>
    <n v="87"/>
    <s v="Medium"/>
    <n v="4.8"/>
    <x v="1"/>
    <x v="3"/>
    <x v="0"/>
    <n v="5"/>
  </r>
  <r>
    <s v="Call_7884"/>
    <s v="C0013"/>
    <n v="45"/>
    <n v="0.75"/>
    <x v="1"/>
    <x v="4"/>
    <d v="2023-07-12T00:00:00"/>
    <n v="84"/>
    <s v="Medium"/>
    <n v="4.8"/>
    <x v="1"/>
    <x v="3"/>
    <x v="2"/>
    <n v="5"/>
  </r>
  <r>
    <s v="Call_7885"/>
    <s v="C0006"/>
    <n v="114"/>
    <n v="1.9"/>
    <x v="0"/>
    <x v="3"/>
    <d v="2023-07-12T00:00:00"/>
    <n v="114"/>
    <s v="High"/>
    <n v="3.9"/>
    <x v="1"/>
    <x v="3"/>
    <x v="0"/>
    <n v="4"/>
  </r>
  <r>
    <s v="Call_7886"/>
    <s v="C0009"/>
    <n v="69"/>
    <n v="1.1499999999999999"/>
    <x v="0"/>
    <x v="1"/>
    <d v="2023-07-13T00:00:00"/>
    <n v="56"/>
    <s v="Medium"/>
    <n v="3.9"/>
    <x v="1"/>
    <x v="4"/>
    <x v="0"/>
    <n v="4"/>
  </r>
  <r>
    <s v="Call_7887"/>
    <s v="C0008"/>
    <n v="33"/>
    <n v="0.55000000000000004"/>
    <x v="1"/>
    <x v="2"/>
    <d v="2023-07-13T00:00:00"/>
    <n v="27"/>
    <s v="Low"/>
    <n v="3.7"/>
    <x v="1"/>
    <x v="4"/>
    <x v="2"/>
    <n v="4"/>
  </r>
  <r>
    <s v="Call_7888"/>
    <s v="C0004"/>
    <n v="31"/>
    <n v="0.51666666666666672"/>
    <x v="1"/>
    <x v="0"/>
    <d v="2023-07-14T00:00:00"/>
    <n v="84"/>
    <s v="Medium"/>
    <n v="4.8"/>
    <x v="1"/>
    <x v="5"/>
    <x v="2"/>
    <n v="5"/>
  </r>
  <r>
    <s v="Call_7889"/>
    <s v="C0013"/>
    <n v="168"/>
    <n v="2.8"/>
    <x v="0"/>
    <x v="2"/>
    <d v="2023-07-14T00:00:00"/>
    <n v="72"/>
    <s v="Medium"/>
    <n v="3.5"/>
    <x v="1"/>
    <x v="5"/>
    <x v="1"/>
    <n v="4"/>
  </r>
  <r>
    <s v="Call_7890"/>
    <s v="C0005"/>
    <n v="111"/>
    <n v="1.85"/>
    <x v="0"/>
    <x v="3"/>
    <d v="2023-07-15T00:00:00"/>
    <n v="126"/>
    <s v="High"/>
    <n v="4.2"/>
    <x v="1"/>
    <x v="6"/>
    <x v="0"/>
    <n v="4"/>
  </r>
  <r>
    <s v="Call_7891"/>
    <s v="C0004"/>
    <n v="80"/>
    <n v="1.3333333333333333"/>
    <x v="0"/>
    <x v="2"/>
    <d v="2023-07-16T00:00:00"/>
    <n v="88"/>
    <s v="Medium"/>
    <n v="4.9000000000000004"/>
    <x v="1"/>
    <x v="0"/>
    <x v="0"/>
    <n v="5"/>
  </r>
  <r>
    <s v="Call_7892"/>
    <s v="C0003"/>
    <n v="37"/>
    <n v="0.6166666666666667"/>
    <x v="1"/>
    <x v="2"/>
    <d v="2023-07-16T00:00:00"/>
    <n v="124"/>
    <s v="High"/>
    <n v="4.5999999999999996"/>
    <x v="1"/>
    <x v="0"/>
    <x v="2"/>
    <n v="5"/>
  </r>
  <r>
    <s v="Call_7893"/>
    <s v="C0001"/>
    <n v="137"/>
    <n v="2.2833333333333332"/>
    <x v="0"/>
    <x v="2"/>
    <d v="2023-07-17T00:00:00"/>
    <n v="84"/>
    <s v="Medium"/>
    <n v="2.6"/>
    <x v="1"/>
    <x v="1"/>
    <x v="1"/>
    <n v="3"/>
  </r>
  <r>
    <s v="Call_7894"/>
    <s v="C0009"/>
    <n v="123"/>
    <n v="2.0499999999999998"/>
    <x v="0"/>
    <x v="3"/>
    <d v="2023-07-17T00:00:00"/>
    <n v="80"/>
    <s v="Medium"/>
    <n v="2.7"/>
    <x v="1"/>
    <x v="1"/>
    <x v="1"/>
    <n v="3"/>
  </r>
  <r>
    <s v="Call_7895"/>
    <s v="C0012"/>
    <n v="105"/>
    <n v="1.75"/>
    <x v="0"/>
    <x v="3"/>
    <d v="2023-07-18T00:00:00"/>
    <n v="176"/>
    <s v="Very High"/>
    <n v="4.7"/>
    <x v="1"/>
    <x v="2"/>
    <x v="0"/>
    <n v="5"/>
  </r>
  <r>
    <s v="Call_7896"/>
    <s v="C0003"/>
    <n v="76"/>
    <n v="1.2666666666666666"/>
    <x v="0"/>
    <x v="4"/>
    <d v="2023-07-19T00:00:00"/>
    <n v="84"/>
    <s v="Medium"/>
    <n v="3.9"/>
    <x v="1"/>
    <x v="3"/>
    <x v="0"/>
    <n v="4"/>
  </r>
  <r>
    <s v="Call_7897"/>
    <s v="C0004"/>
    <n v="144"/>
    <n v="2.4"/>
    <x v="0"/>
    <x v="4"/>
    <d v="2023-07-19T00:00:00"/>
    <n v="164"/>
    <s v="Very High"/>
    <n v="2.8"/>
    <x v="1"/>
    <x v="3"/>
    <x v="1"/>
    <n v="3"/>
  </r>
  <r>
    <s v="Call_7898"/>
    <s v="C0008"/>
    <n v="109"/>
    <n v="1.8166666666666667"/>
    <x v="0"/>
    <x v="0"/>
    <d v="2023-07-19T00:00:00"/>
    <n v="132"/>
    <s v="High"/>
    <n v="3.1"/>
    <x v="1"/>
    <x v="3"/>
    <x v="0"/>
    <n v="3"/>
  </r>
  <r>
    <s v="Call_7899"/>
    <s v="C0009"/>
    <n v="172"/>
    <n v="2.8666666666666667"/>
    <x v="0"/>
    <x v="2"/>
    <d v="2023-07-20T00:00:00"/>
    <n v="27"/>
    <s v="Low"/>
    <n v="4.2"/>
    <x v="1"/>
    <x v="4"/>
    <x v="1"/>
    <n v="4"/>
  </r>
  <r>
    <s v="Call_7900"/>
    <s v="C0004"/>
    <n v="56"/>
    <n v="0.93333333333333335"/>
    <x v="1"/>
    <x v="3"/>
    <d v="2023-07-20T00:00:00"/>
    <n v="27"/>
    <s v="Low"/>
    <n v="4.3"/>
    <x v="1"/>
    <x v="4"/>
    <x v="2"/>
    <n v="4"/>
  </r>
  <r>
    <s v="Call_7901"/>
    <s v="C0004"/>
    <n v="121"/>
    <n v="2.0166666666666666"/>
    <x v="0"/>
    <x v="1"/>
    <d v="2023-07-20T00:00:00"/>
    <n v="20"/>
    <s v="Low"/>
    <n v="2.7"/>
    <x v="1"/>
    <x v="4"/>
    <x v="1"/>
    <n v="3"/>
  </r>
  <r>
    <s v="Call_7902"/>
    <s v="C0009"/>
    <n v="41"/>
    <n v="0.68333333333333335"/>
    <x v="1"/>
    <x v="3"/>
    <d v="2023-07-21T00:00:00"/>
    <n v="112"/>
    <s v="High"/>
    <n v="2.2999999999999998"/>
    <x v="1"/>
    <x v="5"/>
    <x v="2"/>
    <n v="2"/>
  </r>
  <r>
    <s v="Call_7903"/>
    <s v="C0014"/>
    <n v="60"/>
    <n v="1"/>
    <x v="1"/>
    <x v="2"/>
    <d v="2023-07-21T00:00:00"/>
    <n v="60"/>
    <s v="Medium"/>
    <n v="2.2999999999999998"/>
    <x v="1"/>
    <x v="5"/>
    <x v="2"/>
    <n v="2"/>
  </r>
  <r>
    <s v="Call_7904"/>
    <s v="C0014"/>
    <n v="144"/>
    <n v="2.4"/>
    <x v="0"/>
    <x v="2"/>
    <d v="2023-07-22T00:00:00"/>
    <n v="102"/>
    <s v="High"/>
    <n v="2.9"/>
    <x v="1"/>
    <x v="6"/>
    <x v="1"/>
    <n v="3"/>
  </r>
  <r>
    <s v="Call_7905"/>
    <s v="C0011"/>
    <n v="67"/>
    <n v="1.1166666666666667"/>
    <x v="0"/>
    <x v="2"/>
    <d v="2023-07-22T00:00:00"/>
    <n v="38"/>
    <s v="Low"/>
    <n v="4.2"/>
    <x v="1"/>
    <x v="6"/>
    <x v="0"/>
    <n v="4"/>
  </r>
  <r>
    <s v="Call_7906"/>
    <s v="C0009"/>
    <n v="162"/>
    <n v="2.7"/>
    <x v="0"/>
    <x v="0"/>
    <d v="2023-07-22T00:00:00"/>
    <n v="82"/>
    <s v="Medium"/>
    <n v="4.5999999999999996"/>
    <x v="1"/>
    <x v="6"/>
    <x v="1"/>
    <n v="5"/>
  </r>
  <r>
    <s v="Call_7907"/>
    <s v="C0014"/>
    <n v="87"/>
    <n v="1.45"/>
    <x v="0"/>
    <x v="1"/>
    <d v="2023-07-25T00:00:00"/>
    <n v="125"/>
    <s v="High"/>
    <n v="4.5"/>
    <x v="1"/>
    <x v="2"/>
    <x v="0"/>
    <n v="5"/>
  </r>
  <r>
    <s v="Call_7908"/>
    <s v="C0015"/>
    <n v="10"/>
    <n v="0.16666666666666666"/>
    <x v="3"/>
    <x v="4"/>
    <d v="2023-07-26T00:00:00"/>
    <n v="72"/>
    <s v="Medium"/>
    <n v="3.7"/>
    <x v="1"/>
    <x v="3"/>
    <x v="4"/>
    <n v="4"/>
  </r>
  <r>
    <s v="Call_7909"/>
    <s v="C0004"/>
    <n v="138"/>
    <n v="2.2999999999999998"/>
    <x v="0"/>
    <x v="4"/>
    <d v="2023-07-26T00:00:00"/>
    <n v="195"/>
    <s v="Very High"/>
    <n v="4.0999999999999996"/>
    <x v="1"/>
    <x v="3"/>
    <x v="1"/>
    <n v="4"/>
  </r>
  <r>
    <s v="Call_7910"/>
    <s v="C0009"/>
    <n v="31"/>
    <n v="0.51666666666666672"/>
    <x v="1"/>
    <x v="4"/>
    <d v="2023-07-27T00:00:00"/>
    <n v="160"/>
    <s v="Very High"/>
    <n v="3.4"/>
    <x v="1"/>
    <x v="4"/>
    <x v="2"/>
    <n v="3"/>
  </r>
  <r>
    <s v="Call_7911"/>
    <s v="C0012"/>
    <n v="75"/>
    <n v="1.25"/>
    <x v="0"/>
    <x v="0"/>
    <d v="2023-07-27T00:00:00"/>
    <n v="78"/>
    <s v="Medium"/>
    <n v="3.3"/>
    <x v="1"/>
    <x v="4"/>
    <x v="0"/>
    <n v="3"/>
  </r>
  <r>
    <s v="Call_7912"/>
    <s v="C0003"/>
    <n v="65"/>
    <n v="1.0833333333333333"/>
    <x v="0"/>
    <x v="0"/>
    <d v="2023-07-28T00:00:00"/>
    <n v="70"/>
    <s v="Medium"/>
    <n v="4.4000000000000004"/>
    <x v="1"/>
    <x v="5"/>
    <x v="0"/>
    <n v="4"/>
  </r>
  <r>
    <s v="Call_7913"/>
    <s v="C0005"/>
    <n v="106"/>
    <n v="1.7666666666666666"/>
    <x v="0"/>
    <x v="3"/>
    <d v="2023-07-28T00:00:00"/>
    <n v="105"/>
    <s v="High"/>
    <n v="4.2"/>
    <x v="1"/>
    <x v="5"/>
    <x v="0"/>
    <n v="4"/>
  </r>
  <r>
    <s v="Call_7914"/>
    <s v="C0003"/>
    <n v="107"/>
    <n v="1.7833333333333334"/>
    <x v="0"/>
    <x v="3"/>
    <d v="2023-07-29T00:00:00"/>
    <n v="78"/>
    <s v="Medium"/>
    <n v="3.4"/>
    <x v="1"/>
    <x v="6"/>
    <x v="0"/>
    <n v="3"/>
  </r>
  <r>
    <s v="Call_7915"/>
    <s v="C0001"/>
    <n v="78"/>
    <n v="1.3"/>
    <x v="0"/>
    <x v="3"/>
    <d v="2023-07-31T00:00:00"/>
    <n v="205"/>
    <s v="Very High"/>
    <n v="4.4000000000000004"/>
    <x v="1"/>
    <x v="1"/>
    <x v="0"/>
    <n v="4"/>
  </r>
  <r>
    <s v="Call_7916"/>
    <s v="C0002"/>
    <n v="122"/>
    <n v="2.0333333333333332"/>
    <x v="0"/>
    <x v="3"/>
    <d v="2023-07-31T00:00:00"/>
    <n v="78"/>
    <s v="Medium"/>
    <n v="2.7"/>
    <x v="1"/>
    <x v="1"/>
    <x v="1"/>
    <n v="3"/>
  </r>
  <r>
    <s v="Call_7917"/>
    <s v="C0004"/>
    <n v="58"/>
    <n v="0.96666666666666667"/>
    <x v="1"/>
    <x v="4"/>
    <d v="2023-07-31T00:00:00"/>
    <n v="38"/>
    <s v="Low"/>
    <n v="4.5"/>
    <x v="1"/>
    <x v="1"/>
    <x v="2"/>
    <n v="5"/>
  </r>
  <r>
    <s v="Call_7918"/>
    <s v="C0001"/>
    <n v="33"/>
    <n v="0.55000000000000004"/>
    <x v="1"/>
    <x v="2"/>
    <d v="2023-07-31T00:00:00"/>
    <n v="92"/>
    <s v="Medium"/>
    <n v="1.7"/>
    <x v="1"/>
    <x v="1"/>
    <x v="2"/>
    <n v="2"/>
  </r>
  <r>
    <s v="Call_7919"/>
    <s v="C0008"/>
    <n v="164"/>
    <n v="2.7333333333333334"/>
    <x v="0"/>
    <x v="0"/>
    <d v="2023-07-31T00:00:00"/>
    <n v="36"/>
    <s v="Low"/>
    <n v="4.7"/>
    <x v="1"/>
    <x v="1"/>
    <x v="1"/>
    <n v="5"/>
  </r>
  <r>
    <s v="Call_7920"/>
    <s v="C0012"/>
    <n v="163"/>
    <n v="2.7166666666666668"/>
    <x v="0"/>
    <x v="1"/>
    <d v="2023-07-31T00:00:00"/>
    <n v="76"/>
    <s v="Medium"/>
    <n v="4.4000000000000004"/>
    <x v="1"/>
    <x v="1"/>
    <x v="1"/>
    <n v="4"/>
  </r>
  <r>
    <s v="Call_7921"/>
    <s v="C0007"/>
    <n v="71"/>
    <n v="1.1833333333333333"/>
    <x v="0"/>
    <x v="0"/>
    <d v="2023-08-02T00:00:00"/>
    <n v="170"/>
    <s v="Very High"/>
    <n v="3.5"/>
    <x v="1"/>
    <x v="3"/>
    <x v="0"/>
    <n v="4"/>
  </r>
  <r>
    <s v="Call_7922"/>
    <s v="C0001"/>
    <n v="103"/>
    <n v="1.7166666666666666"/>
    <x v="0"/>
    <x v="4"/>
    <d v="2023-08-03T00:00:00"/>
    <n v="117"/>
    <s v="High"/>
    <n v="4.7"/>
    <x v="1"/>
    <x v="4"/>
    <x v="0"/>
    <n v="5"/>
  </r>
  <r>
    <s v="Call_7923"/>
    <s v="C0006"/>
    <n v="69"/>
    <n v="1.1499999999999999"/>
    <x v="0"/>
    <x v="1"/>
    <d v="2023-08-03T00:00:00"/>
    <n v="20"/>
    <s v="Low"/>
    <n v="4.3"/>
    <x v="1"/>
    <x v="4"/>
    <x v="0"/>
    <n v="4"/>
  </r>
  <r>
    <s v="Call_7924"/>
    <s v="C0012"/>
    <n v="111"/>
    <n v="1.85"/>
    <x v="0"/>
    <x v="4"/>
    <d v="2023-08-03T00:00:00"/>
    <n v="99"/>
    <s v="Medium"/>
    <n v="4.0999999999999996"/>
    <x v="1"/>
    <x v="4"/>
    <x v="0"/>
    <n v="4"/>
  </r>
  <r>
    <s v="Call_7925"/>
    <s v="C0010"/>
    <n v="97"/>
    <n v="1.6166666666666667"/>
    <x v="0"/>
    <x v="1"/>
    <d v="2023-08-04T00:00:00"/>
    <n v="105"/>
    <s v="High"/>
    <n v="2.9"/>
    <x v="1"/>
    <x v="5"/>
    <x v="0"/>
    <n v="3"/>
  </r>
  <r>
    <s v="Call_7926"/>
    <s v="C0013"/>
    <n v="144"/>
    <n v="2.4"/>
    <x v="0"/>
    <x v="3"/>
    <d v="2023-08-04T00:00:00"/>
    <n v="195"/>
    <s v="Very High"/>
    <n v="3.4"/>
    <x v="1"/>
    <x v="5"/>
    <x v="1"/>
    <n v="3"/>
  </r>
  <r>
    <s v="Call_7927"/>
    <s v="C0005"/>
    <n v="56"/>
    <n v="0.93333333333333335"/>
    <x v="1"/>
    <x v="1"/>
    <d v="2023-08-05T00:00:00"/>
    <n v="152"/>
    <s v="Very High"/>
    <n v="4.5999999999999996"/>
    <x v="1"/>
    <x v="6"/>
    <x v="2"/>
    <n v="5"/>
  </r>
  <r>
    <s v="Call_7928"/>
    <s v="C0013"/>
    <n v="132"/>
    <n v="2.2000000000000002"/>
    <x v="0"/>
    <x v="3"/>
    <d v="2023-08-06T00:00:00"/>
    <n v="195"/>
    <s v="Very High"/>
    <n v="4.9000000000000004"/>
    <x v="1"/>
    <x v="0"/>
    <x v="1"/>
    <n v="5"/>
  </r>
  <r>
    <s v="Call_7929"/>
    <s v="C0007"/>
    <n v="72"/>
    <n v="1.2"/>
    <x v="0"/>
    <x v="2"/>
    <d v="2023-08-06T00:00:00"/>
    <n v="70"/>
    <s v="Medium"/>
    <n v="3.6"/>
    <x v="1"/>
    <x v="0"/>
    <x v="0"/>
    <n v="4"/>
  </r>
  <r>
    <s v="Call_7930"/>
    <s v="C0012"/>
    <n v="18"/>
    <n v="0.3"/>
    <x v="2"/>
    <x v="2"/>
    <d v="2023-08-06T00:00:00"/>
    <n v="22"/>
    <s v="Low"/>
    <n v="3.5"/>
    <x v="1"/>
    <x v="0"/>
    <x v="3"/>
    <n v="4"/>
  </r>
  <r>
    <s v="Call_7931"/>
    <s v="C0011"/>
    <n v="115"/>
    <n v="1.9166666666666667"/>
    <x v="0"/>
    <x v="4"/>
    <d v="2023-08-07T00:00:00"/>
    <n v="40"/>
    <s v="Low"/>
    <n v="3.3"/>
    <x v="1"/>
    <x v="1"/>
    <x v="0"/>
    <n v="3"/>
  </r>
  <r>
    <s v="Call_7932"/>
    <s v="C0011"/>
    <n v="124"/>
    <n v="2.0666666666666669"/>
    <x v="0"/>
    <x v="1"/>
    <d v="2023-08-08T00:00:00"/>
    <n v="54"/>
    <s v="Medium"/>
    <n v="3.8"/>
    <x v="1"/>
    <x v="2"/>
    <x v="1"/>
    <n v="4"/>
  </r>
  <r>
    <s v="Call_7933"/>
    <s v="C0004"/>
    <n v="130"/>
    <n v="2.1666666666666665"/>
    <x v="0"/>
    <x v="1"/>
    <d v="2023-08-08T00:00:00"/>
    <n v="60"/>
    <s v="Medium"/>
    <n v="2.5"/>
    <x v="1"/>
    <x v="2"/>
    <x v="1"/>
    <n v="3"/>
  </r>
  <r>
    <s v="Call_7934"/>
    <s v="C0015"/>
    <n v="120"/>
    <n v="2"/>
    <x v="0"/>
    <x v="0"/>
    <d v="2023-08-10T00:00:00"/>
    <n v="58"/>
    <s v="Medium"/>
    <n v="4.5999999999999996"/>
    <x v="1"/>
    <x v="4"/>
    <x v="0"/>
    <n v="5"/>
  </r>
  <r>
    <s v="Call_7935"/>
    <s v="C0010"/>
    <n v="75"/>
    <n v="1.25"/>
    <x v="0"/>
    <x v="4"/>
    <d v="2023-08-10T00:00:00"/>
    <n v="220"/>
    <s v="Very High"/>
    <n v="4.7"/>
    <x v="1"/>
    <x v="4"/>
    <x v="0"/>
    <n v="5"/>
  </r>
  <r>
    <s v="Call_7936"/>
    <s v="C0003"/>
    <n v="63"/>
    <n v="1.05"/>
    <x v="0"/>
    <x v="4"/>
    <d v="2023-08-10T00:00:00"/>
    <n v="27"/>
    <s v="Low"/>
    <n v="3.6"/>
    <x v="1"/>
    <x v="4"/>
    <x v="0"/>
    <n v="4"/>
  </r>
  <r>
    <s v="Call_7937"/>
    <s v="C0013"/>
    <n v="74"/>
    <n v="1.2333333333333334"/>
    <x v="0"/>
    <x v="4"/>
    <d v="2023-08-12T00:00:00"/>
    <n v="26"/>
    <s v="Low"/>
    <n v="4.3"/>
    <x v="1"/>
    <x v="6"/>
    <x v="0"/>
    <n v="4"/>
  </r>
  <r>
    <s v="Call_7938"/>
    <s v="C0006"/>
    <n v="134"/>
    <n v="2.2333333333333334"/>
    <x v="0"/>
    <x v="3"/>
    <d v="2023-08-13T00:00:00"/>
    <n v="160"/>
    <s v="Very High"/>
    <n v="4.7"/>
    <x v="1"/>
    <x v="0"/>
    <x v="1"/>
    <n v="5"/>
  </r>
  <r>
    <s v="Call_7939"/>
    <s v="C0012"/>
    <n v="103"/>
    <n v="1.7166666666666666"/>
    <x v="0"/>
    <x v="1"/>
    <d v="2023-08-13T00:00:00"/>
    <n v="200"/>
    <s v="Very High"/>
    <n v="4.9000000000000004"/>
    <x v="1"/>
    <x v="0"/>
    <x v="0"/>
    <n v="5"/>
  </r>
  <r>
    <s v="Call_7940"/>
    <s v="C0012"/>
    <n v="155"/>
    <n v="2.5833333333333335"/>
    <x v="0"/>
    <x v="0"/>
    <d v="2023-08-16T00:00:00"/>
    <n v="135"/>
    <s v="High"/>
    <n v="4.9000000000000004"/>
    <x v="1"/>
    <x v="3"/>
    <x v="1"/>
    <n v="5"/>
  </r>
  <r>
    <s v="Call_7941"/>
    <s v="C0003"/>
    <n v="128"/>
    <n v="2.1333333333333333"/>
    <x v="0"/>
    <x v="1"/>
    <d v="2023-08-17T00:00:00"/>
    <n v="22"/>
    <s v="Low"/>
    <n v="1.9"/>
    <x v="1"/>
    <x v="4"/>
    <x v="1"/>
    <n v="2"/>
  </r>
  <r>
    <s v="Call_7942"/>
    <s v="C0010"/>
    <n v="89"/>
    <n v="1.4833333333333334"/>
    <x v="0"/>
    <x v="3"/>
    <d v="2023-08-18T00:00:00"/>
    <n v="164"/>
    <s v="Very High"/>
    <n v="4.5"/>
    <x v="1"/>
    <x v="5"/>
    <x v="0"/>
    <n v="5"/>
  </r>
  <r>
    <s v="Call_7943"/>
    <s v="C0011"/>
    <n v="81"/>
    <n v="1.35"/>
    <x v="0"/>
    <x v="0"/>
    <d v="2023-08-18T00:00:00"/>
    <n v="21"/>
    <s v="Low"/>
    <n v="4.9000000000000004"/>
    <x v="1"/>
    <x v="5"/>
    <x v="0"/>
    <n v="5"/>
  </r>
  <r>
    <s v="Call_7944"/>
    <s v="C0010"/>
    <n v="66"/>
    <n v="1.1000000000000001"/>
    <x v="0"/>
    <x v="3"/>
    <d v="2023-08-19T00:00:00"/>
    <n v="120"/>
    <s v="High"/>
    <n v="4.5"/>
    <x v="1"/>
    <x v="6"/>
    <x v="0"/>
    <n v="5"/>
  </r>
  <r>
    <s v="Call_7945"/>
    <s v="C0007"/>
    <n v="61"/>
    <n v="1.0166666666666666"/>
    <x v="0"/>
    <x v="2"/>
    <d v="2023-08-19T00:00:00"/>
    <n v="93"/>
    <s v="Medium"/>
    <n v="2.7"/>
    <x v="1"/>
    <x v="6"/>
    <x v="0"/>
    <n v="3"/>
  </r>
  <r>
    <s v="Call_7946"/>
    <s v="C0011"/>
    <n v="128"/>
    <n v="2.1333333333333333"/>
    <x v="0"/>
    <x v="2"/>
    <d v="2023-08-19T00:00:00"/>
    <n v="135"/>
    <s v="High"/>
    <n v="2.1"/>
    <x v="1"/>
    <x v="6"/>
    <x v="1"/>
    <n v="2"/>
  </r>
  <r>
    <s v="Call_7947"/>
    <s v="C0012"/>
    <n v="30"/>
    <n v="0.5"/>
    <x v="2"/>
    <x v="0"/>
    <d v="2023-08-19T00:00:00"/>
    <n v="210"/>
    <s v="Very High"/>
    <n v="4.2"/>
    <x v="1"/>
    <x v="6"/>
    <x v="3"/>
    <n v="4"/>
  </r>
  <r>
    <s v="Call_7948"/>
    <s v="C0008"/>
    <n v="63"/>
    <n v="1.05"/>
    <x v="0"/>
    <x v="2"/>
    <d v="2023-08-20T00:00:00"/>
    <n v="29"/>
    <s v="Low"/>
    <n v="4.7"/>
    <x v="1"/>
    <x v="0"/>
    <x v="0"/>
    <n v="5"/>
  </r>
  <r>
    <s v="Call_7949"/>
    <s v="C0002"/>
    <n v="64"/>
    <n v="1.0666666666666667"/>
    <x v="0"/>
    <x v="4"/>
    <d v="2023-08-20T00:00:00"/>
    <n v="111"/>
    <s v="High"/>
    <n v="3.9"/>
    <x v="1"/>
    <x v="0"/>
    <x v="0"/>
    <n v="4"/>
  </r>
  <r>
    <s v="Call_7950"/>
    <s v="C0014"/>
    <n v="151"/>
    <n v="2.5166666666666666"/>
    <x v="0"/>
    <x v="1"/>
    <d v="2023-08-21T00:00:00"/>
    <n v="63"/>
    <s v="Medium"/>
    <n v="4.0999999999999996"/>
    <x v="1"/>
    <x v="1"/>
    <x v="1"/>
    <n v="4"/>
  </r>
  <r>
    <s v="Call_7951"/>
    <s v="C0001"/>
    <n v="116"/>
    <n v="1.9333333333333333"/>
    <x v="0"/>
    <x v="3"/>
    <d v="2023-08-21T00:00:00"/>
    <n v="44"/>
    <s v="Low"/>
    <n v="3.8"/>
    <x v="1"/>
    <x v="1"/>
    <x v="0"/>
    <n v="4"/>
  </r>
  <r>
    <s v="Call_7952"/>
    <s v="C0014"/>
    <n v="111"/>
    <n v="1.85"/>
    <x v="0"/>
    <x v="3"/>
    <d v="2023-08-23T00:00:00"/>
    <n v="120"/>
    <s v="High"/>
    <n v="1.8"/>
    <x v="1"/>
    <x v="3"/>
    <x v="0"/>
    <n v="2"/>
  </r>
  <r>
    <s v="Call_7953"/>
    <s v="C0011"/>
    <n v="15"/>
    <n v="0.25"/>
    <x v="3"/>
    <x v="3"/>
    <d v="2023-08-23T00:00:00"/>
    <n v="120"/>
    <s v="High"/>
    <n v="4.0999999999999996"/>
    <x v="1"/>
    <x v="3"/>
    <x v="3"/>
    <n v="4"/>
  </r>
  <r>
    <s v="Call_7954"/>
    <s v="C0002"/>
    <n v="18"/>
    <n v="0.3"/>
    <x v="2"/>
    <x v="1"/>
    <d v="2023-08-24T00:00:00"/>
    <n v="40"/>
    <s v="Low"/>
    <n v="4.4000000000000004"/>
    <x v="1"/>
    <x v="4"/>
    <x v="3"/>
    <n v="4"/>
  </r>
  <r>
    <s v="Call_7955"/>
    <s v="C0007"/>
    <n v="146"/>
    <n v="2.4333333333333331"/>
    <x v="0"/>
    <x v="2"/>
    <d v="2023-08-24T00:00:00"/>
    <n v="160"/>
    <s v="Very High"/>
    <n v="4.0999999999999996"/>
    <x v="1"/>
    <x v="4"/>
    <x v="1"/>
    <n v="4"/>
  </r>
  <r>
    <s v="Call_7956"/>
    <s v="C0012"/>
    <n v="73"/>
    <n v="1.2166666666666666"/>
    <x v="0"/>
    <x v="3"/>
    <d v="2023-08-25T00:00:00"/>
    <n v="44"/>
    <s v="Low"/>
    <n v="3.8"/>
    <x v="1"/>
    <x v="5"/>
    <x v="0"/>
    <n v="4"/>
  </r>
  <r>
    <s v="Call_7957"/>
    <s v="C0014"/>
    <n v="108"/>
    <n v="1.8"/>
    <x v="0"/>
    <x v="1"/>
    <d v="2023-08-25T00:00:00"/>
    <n v="80"/>
    <s v="Medium"/>
    <n v="4.3"/>
    <x v="1"/>
    <x v="5"/>
    <x v="0"/>
    <n v="4"/>
  </r>
  <r>
    <s v="Call_7958"/>
    <s v="C0006"/>
    <n v="52"/>
    <n v="0.8666666666666667"/>
    <x v="1"/>
    <x v="1"/>
    <d v="2023-08-26T00:00:00"/>
    <n v="66"/>
    <s v="Medium"/>
    <n v="4.5"/>
    <x v="1"/>
    <x v="6"/>
    <x v="2"/>
    <n v="5"/>
  </r>
  <r>
    <s v="Call_7959"/>
    <s v="C0001"/>
    <n v="165"/>
    <n v="2.75"/>
    <x v="0"/>
    <x v="4"/>
    <d v="2023-08-26T00:00:00"/>
    <n v="82"/>
    <s v="Medium"/>
    <n v="3.4"/>
    <x v="1"/>
    <x v="6"/>
    <x v="1"/>
    <n v="3"/>
  </r>
  <r>
    <s v="Call_7960"/>
    <s v="C0007"/>
    <n v="104"/>
    <n v="1.7333333333333334"/>
    <x v="0"/>
    <x v="3"/>
    <d v="2023-08-26T00:00:00"/>
    <n v="66"/>
    <s v="Medium"/>
    <n v="4.8"/>
    <x v="1"/>
    <x v="6"/>
    <x v="0"/>
    <n v="5"/>
  </r>
  <r>
    <s v="Call_7961"/>
    <s v="C0012"/>
    <n v="131"/>
    <n v="2.1833333333333331"/>
    <x v="0"/>
    <x v="2"/>
    <d v="2023-08-26T00:00:00"/>
    <n v="92"/>
    <s v="Medium"/>
    <n v="4.9000000000000004"/>
    <x v="1"/>
    <x v="6"/>
    <x v="1"/>
    <n v="5"/>
  </r>
  <r>
    <s v="Call_7962"/>
    <s v="C0015"/>
    <n v="80"/>
    <n v="1.3333333333333333"/>
    <x v="0"/>
    <x v="4"/>
    <d v="2023-08-27T00:00:00"/>
    <n v="104"/>
    <s v="High"/>
    <n v="4.7"/>
    <x v="1"/>
    <x v="0"/>
    <x v="0"/>
    <n v="5"/>
  </r>
  <r>
    <s v="Call_7963"/>
    <s v="C0011"/>
    <n v="49"/>
    <n v="0.81666666666666665"/>
    <x v="1"/>
    <x v="3"/>
    <d v="2023-08-27T00:00:00"/>
    <n v="105"/>
    <s v="High"/>
    <n v="3.3"/>
    <x v="1"/>
    <x v="0"/>
    <x v="2"/>
    <n v="3"/>
  </r>
  <r>
    <s v="Call_7964"/>
    <s v="C0001"/>
    <n v="73"/>
    <n v="1.2166666666666666"/>
    <x v="0"/>
    <x v="3"/>
    <d v="2023-08-27T00:00:00"/>
    <n v="100"/>
    <s v="Medium"/>
    <n v="2.8"/>
    <x v="1"/>
    <x v="0"/>
    <x v="0"/>
    <n v="3"/>
  </r>
  <r>
    <s v="Call_7965"/>
    <s v="C0007"/>
    <n v="117"/>
    <n v="1.95"/>
    <x v="0"/>
    <x v="4"/>
    <d v="2023-08-27T00:00:00"/>
    <n v="90"/>
    <s v="Medium"/>
    <n v="4.0999999999999996"/>
    <x v="1"/>
    <x v="0"/>
    <x v="0"/>
    <n v="4"/>
  </r>
  <r>
    <s v="Call_7966"/>
    <s v="C0005"/>
    <n v="38"/>
    <n v="0.6333333333333333"/>
    <x v="1"/>
    <x v="0"/>
    <d v="2023-08-27T00:00:00"/>
    <n v="110"/>
    <s v="High"/>
    <n v="3.5"/>
    <x v="1"/>
    <x v="0"/>
    <x v="2"/>
    <n v="4"/>
  </r>
  <r>
    <s v="Call_7967"/>
    <s v="C0006"/>
    <n v="109"/>
    <n v="1.8166666666666667"/>
    <x v="0"/>
    <x v="4"/>
    <d v="2023-08-29T00:00:00"/>
    <n v="68"/>
    <s v="Medium"/>
    <n v="2.2999999999999998"/>
    <x v="1"/>
    <x v="2"/>
    <x v="0"/>
    <n v="2"/>
  </r>
  <r>
    <s v="Call_7968"/>
    <s v="C0011"/>
    <n v="70"/>
    <n v="1.1666666666666667"/>
    <x v="0"/>
    <x v="1"/>
    <d v="2023-08-30T00:00:00"/>
    <n v="210"/>
    <s v="Very High"/>
    <n v="4.0999999999999996"/>
    <x v="1"/>
    <x v="3"/>
    <x v="0"/>
    <n v="4"/>
  </r>
  <r>
    <s v="Call_7969"/>
    <s v="C0004"/>
    <n v="51"/>
    <n v="0.85"/>
    <x v="1"/>
    <x v="0"/>
    <d v="2023-08-30T00:00:00"/>
    <n v="111"/>
    <s v="High"/>
    <n v="4.3"/>
    <x v="1"/>
    <x v="3"/>
    <x v="2"/>
    <n v="4"/>
  </r>
  <r>
    <s v="Call_7970"/>
    <s v="C0004"/>
    <n v="100"/>
    <n v="1.6666666666666667"/>
    <x v="0"/>
    <x v="1"/>
    <d v="2023-08-31T00:00:00"/>
    <n v="45"/>
    <s v="Low"/>
    <n v="4.9000000000000004"/>
    <x v="1"/>
    <x v="4"/>
    <x v="0"/>
    <n v="5"/>
  </r>
  <r>
    <s v="Call_7971"/>
    <s v="C0013"/>
    <n v="124"/>
    <n v="2.0666666666666669"/>
    <x v="0"/>
    <x v="0"/>
    <d v="2023-09-01T00:00:00"/>
    <n v="132"/>
    <s v="High"/>
    <n v="4"/>
    <x v="1"/>
    <x v="5"/>
    <x v="1"/>
    <n v="4"/>
  </r>
  <r>
    <s v="Call_7972"/>
    <s v="C0003"/>
    <n v="143"/>
    <n v="2.3833333333333333"/>
    <x v="0"/>
    <x v="4"/>
    <d v="2023-09-01T00:00:00"/>
    <n v="20"/>
    <s v="Low"/>
    <n v="4.7"/>
    <x v="1"/>
    <x v="5"/>
    <x v="1"/>
    <n v="5"/>
  </r>
  <r>
    <s v="Call_7973"/>
    <s v="C0010"/>
    <n v="96"/>
    <n v="1.6"/>
    <x v="0"/>
    <x v="3"/>
    <d v="2023-09-01T00:00:00"/>
    <n v="36"/>
    <s v="Low"/>
    <n v="3.4"/>
    <x v="1"/>
    <x v="5"/>
    <x v="0"/>
    <n v="3"/>
  </r>
  <r>
    <s v="Call_7974"/>
    <s v="C0001"/>
    <n v="84"/>
    <n v="1.4"/>
    <x v="0"/>
    <x v="1"/>
    <d v="2023-09-03T00:00:00"/>
    <n v="72"/>
    <s v="Medium"/>
    <n v="4"/>
    <x v="1"/>
    <x v="0"/>
    <x v="0"/>
    <n v="4"/>
  </r>
  <r>
    <s v="Call_7975"/>
    <s v="C0009"/>
    <n v="111"/>
    <n v="1.85"/>
    <x v="0"/>
    <x v="1"/>
    <d v="2023-09-03T00:00:00"/>
    <n v="63"/>
    <s v="Medium"/>
    <n v="4.5"/>
    <x v="1"/>
    <x v="0"/>
    <x v="0"/>
    <n v="5"/>
  </r>
  <r>
    <s v="Call_7976"/>
    <s v="C0009"/>
    <n v="103"/>
    <n v="1.7166666666666666"/>
    <x v="0"/>
    <x v="0"/>
    <d v="2023-09-04T00:00:00"/>
    <n v="44"/>
    <s v="Low"/>
    <n v="4.5"/>
    <x v="1"/>
    <x v="1"/>
    <x v="0"/>
    <n v="5"/>
  </r>
  <r>
    <s v="Call_7977"/>
    <s v="C0003"/>
    <n v="61"/>
    <n v="1.0166666666666666"/>
    <x v="0"/>
    <x v="2"/>
    <d v="2023-09-04T00:00:00"/>
    <n v="132"/>
    <s v="High"/>
    <n v="4.9000000000000004"/>
    <x v="1"/>
    <x v="1"/>
    <x v="0"/>
    <n v="5"/>
  </r>
  <r>
    <s v="Call_7978"/>
    <s v="C0012"/>
    <n v="113"/>
    <n v="1.8833333333333333"/>
    <x v="0"/>
    <x v="3"/>
    <d v="2023-09-04T00:00:00"/>
    <n v="46"/>
    <s v="Low"/>
    <n v="4.4000000000000004"/>
    <x v="1"/>
    <x v="1"/>
    <x v="0"/>
    <n v="4"/>
  </r>
  <r>
    <s v="Call_7979"/>
    <s v="C0012"/>
    <n v="96"/>
    <n v="1.6"/>
    <x v="0"/>
    <x v="3"/>
    <d v="2023-09-04T00:00:00"/>
    <n v="96"/>
    <s v="Medium"/>
    <n v="2.9"/>
    <x v="1"/>
    <x v="1"/>
    <x v="0"/>
    <n v="3"/>
  </r>
  <r>
    <s v="Call_7980"/>
    <s v="C0002"/>
    <n v="131"/>
    <n v="2.1833333333333331"/>
    <x v="0"/>
    <x v="0"/>
    <d v="2023-09-05T00:00:00"/>
    <n v="75"/>
    <s v="Medium"/>
    <n v="4.4000000000000004"/>
    <x v="1"/>
    <x v="2"/>
    <x v="1"/>
    <n v="4"/>
  </r>
  <r>
    <s v="Call_7981"/>
    <s v="C0007"/>
    <n v="52"/>
    <n v="0.8666666666666667"/>
    <x v="1"/>
    <x v="3"/>
    <d v="2023-09-06T00:00:00"/>
    <n v="88"/>
    <s v="Medium"/>
    <n v="4.3"/>
    <x v="1"/>
    <x v="3"/>
    <x v="2"/>
    <n v="4"/>
  </r>
  <r>
    <s v="Call_7982"/>
    <s v="C0004"/>
    <n v="100"/>
    <n v="1.6666666666666667"/>
    <x v="0"/>
    <x v="0"/>
    <d v="2023-09-06T00:00:00"/>
    <n v="24"/>
    <s v="Low"/>
    <n v="4.7"/>
    <x v="1"/>
    <x v="3"/>
    <x v="0"/>
    <n v="5"/>
  </r>
  <r>
    <s v="Call_7983"/>
    <s v="C0014"/>
    <n v="58"/>
    <n v="0.96666666666666667"/>
    <x v="1"/>
    <x v="4"/>
    <d v="2023-09-06T00:00:00"/>
    <n v="96"/>
    <s v="Medium"/>
    <n v="3.2"/>
    <x v="1"/>
    <x v="3"/>
    <x v="2"/>
    <n v="3"/>
  </r>
  <r>
    <s v="Call_7984"/>
    <s v="C0011"/>
    <n v="144"/>
    <n v="2.4"/>
    <x v="0"/>
    <x v="4"/>
    <d v="2023-09-07T00:00:00"/>
    <n v="124"/>
    <s v="High"/>
    <n v="2.2999999999999998"/>
    <x v="1"/>
    <x v="4"/>
    <x v="1"/>
    <n v="2"/>
  </r>
  <r>
    <s v="Call_7985"/>
    <s v="C0014"/>
    <n v="53"/>
    <n v="0.8833333333333333"/>
    <x v="1"/>
    <x v="2"/>
    <d v="2023-09-08T00:00:00"/>
    <n v="130"/>
    <s v="High"/>
    <n v="3.6"/>
    <x v="1"/>
    <x v="5"/>
    <x v="2"/>
    <n v="4"/>
  </r>
  <r>
    <s v="Call_7986"/>
    <s v="C0012"/>
    <n v="97"/>
    <n v="1.6166666666666667"/>
    <x v="0"/>
    <x v="1"/>
    <d v="2023-09-08T00:00:00"/>
    <n v="45"/>
    <s v="Low"/>
    <n v="4.5999999999999996"/>
    <x v="1"/>
    <x v="5"/>
    <x v="0"/>
    <n v="5"/>
  </r>
  <r>
    <s v="Call_7987"/>
    <s v="C0005"/>
    <n v="64"/>
    <n v="1.0666666666666667"/>
    <x v="0"/>
    <x v="4"/>
    <d v="2023-09-08T00:00:00"/>
    <n v="66"/>
    <s v="Medium"/>
    <n v="4"/>
    <x v="1"/>
    <x v="5"/>
    <x v="0"/>
    <n v="4"/>
  </r>
  <r>
    <s v="Call_7988"/>
    <s v="C0003"/>
    <n v="106"/>
    <n v="1.7666666666666666"/>
    <x v="0"/>
    <x v="0"/>
    <d v="2023-09-08T00:00:00"/>
    <n v="58"/>
    <s v="Medium"/>
    <n v="4.7"/>
    <x v="1"/>
    <x v="5"/>
    <x v="0"/>
    <n v="5"/>
  </r>
  <r>
    <s v="Call_7989"/>
    <s v="C0001"/>
    <n v="36"/>
    <n v="0.6"/>
    <x v="1"/>
    <x v="4"/>
    <d v="2023-09-09T00:00:00"/>
    <n v="152"/>
    <s v="Very High"/>
    <n v="4.3"/>
    <x v="1"/>
    <x v="6"/>
    <x v="2"/>
    <n v="4"/>
  </r>
  <r>
    <s v="Call_7990"/>
    <s v="C0011"/>
    <n v="74"/>
    <n v="1.2333333333333334"/>
    <x v="0"/>
    <x v="3"/>
    <d v="2023-09-09T00:00:00"/>
    <n v="75"/>
    <s v="Medium"/>
    <n v="2.8"/>
    <x v="1"/>
    <x v="6"/>
    <x v="0"/>
    <n v="3"/>
  </r>
  <r>
    <s v="Call_7991"/>
    <s v="C0006"/>
    <n v="143"/>
    <n v="2.3833333333333333"/>
    <x v="0"/>
    <x v="1"/>
    <d v="2023-09-09T00:00:00"/>
    <n v="78"/>
    <s v="Medium"/>
    <n v="4"/>
    <x v="1"/>
    <x v="6"/>
    <x v="1"/>
    <n v="4"/>
  </r>
  <r>
    <s v="Call_7992"/>
    <s v="C0003"/>
    <n v="94"/>
    <n v="1.5666666666666667"/>
    <x v="0"/>
    <x v="2"/>
    <d v="2023-09-09T00:00:00"/>
    <n v="69"/>
    <s v="Medium"/>
    <n v="3.9"/>
    <x v="1"/>
    <x v="6"/>
    <x v="0"/>
    <n v="4"/>
  </r>
  <r>
    <s v="Call_7993"/>
    <s v="C0015"/>
    <n v="124"/>
    <n v="2.0666666666666669"/>
    <x v="0"/>
    <x v="0"/>
    <d v="2023-09-10T00:00:00"/>
    <n v="46"/>
    <s v="Low"/>
    <n v="3.1"/>
    <x v="1"/>
    <x v="0"/>
    <x v="1"/>
    <n v="3"/>
  </r>
  <r>
    <s v="Call_7994"/>
    <s v="C0001"/>
    <n v="156"/>
    <n v="2.6"/>
    <x v="0"/>
    <x v="4"/>
    <d v="2023-09-10T00:00:00"/>
    <n v="64"/>
    <s v="Medium"/>
    <n v="2.7"/>
    <x v="1"/>
    <x v="0"/>
    <x v="1"/>
    <n v="3"/>
  </r>
  <r>
    <s v="Call_7995"/>
    <s v="C0010"/>
    <n v="107"/>
    <n v="1.7833333333333334"/>
    <x v="0"/>
    <x v="1"/>
    <d v="2023-09-10T00:00:00"/>
    <n v="38"/>
    <s v="Low"/>
    <n v="4.7"/>
    <x v="1"/>
    <x v="0"/>
    <x v="0"/>
    <n v="5"/>
  </r>
  <r>
    <s v="Call_7996"/>
    <s v="C0003"/>
    <n v="58"/>
    <n v="0.96666666666666667"/>
    <x v="1"/>
    <x v="1"/>
    <d v="2023-09-12T00:00:00"/>
    <n v="90"/>
    <s v="Medium"/>
    <n v="4.3"/>
    <x v="1"/>
    <x v="2"/>
    <x v="2"/>
    <n v="4"/>
  </r>
  <r>
    <s v="Call_7997"/>
    <s v="C0013"/>
    <n v="66"/>
    <n v="1.1000000000000001"/>
    <x v="0"/>
    <x v="1"/>
    <d v="2023-09-12T00:00:00"/>
    <n v="32"/>
    <s v="Low"/>
    <n v="3.8"/>
    <x v="1"/>
    <x v="2"/>
    <x v="0"/>
    <n v="4"/>
  </r>
  <r>
    <s v="Call_7998"/>
    <s v="C0002"/>
    <n v="75"/>
    <n v="1.25"/>
    <x v="0"/>
    <x v="4"/>
    <d v="2023-09-12T00:00:00"/>
    <n v="120"/>
    <s v="High"/>
    <n v="4.4000000000000004"/>
    <x v="1"/>
    <x v="2"/>
    <x v="0"/>
    <n v="4"/>
  </r>
  <r>
    <s v="Call_7999"/>
    <s v="C0010"/>
    <n v="8"/>
    <n v="0.13333333333333333"/>
    <x v="3"/>
    <x v="1"/>
    <d v="2023-09-12T00:00:00"/>
    <n v="31"/>
    <s v="Low"/>
    <n v="3.9"/>
    <x v="1"/>
    <x v="2"/>
    <x v="4"/>
    <n v="4"/>
  </r>
  <r>
    <s v="Call_8000"/>
    <s v="C0005"/>
    <n v="76"/>
    <n v="1.2666666666666666"/>
    <x v="0"/>
    <x v="4"/>
    <d v="2023-09-13T00:00:00"/>
    <n v="108"/>
    <s v="High"/>
    <n v="4.9000000000000004"/>
    <x v="1"/>
    <x v="3"/>
    <x v="0"/>
    <n v="5"/>
  </r>
  <r>
    <s v="Call_8001"/>
    <s v="C0003"/>
    <n v="110"/>
    <n v="1.8333333333333333"/>
    <x v="0"/>
    <x v="4"/>
    <d v="2023-09-13T00:00:00"/>
    <n v="180"/>
    <s v="Very High"/>
    <n v="4.2"/>
    <x v="1"/>
    <x v="3"/>
    <x v="0"/>
    <n v="4"/>
  </r>
  <r>
    <s v="Call_8002"/>
    <s v="C0013"/>
    <n v="50"/>
    <n v="0.83333333333333337"/>
    <x v="1"/>
    <x v="2"/>
    <d v="2023-09-14T00:00:00"/>
    <n v="124"/>
    <s v="High"/>
    <n v="4"/>
    <x v="1"/>
    <x v="4"/>
    <x v="2"/>
    <n v="4"/>
  </r>
  <r>
    <s v="Call_8003"/>
    <s v="C0007"/>
    <n v="78"/>
    <n v="1.3"/>
    <x v="0"/>
    <x v="2"/>
    <d v="2023-09-14T00:00:00"/>
    <n v="23"/>
    <s v="Low"/>
    <n v="4.2"/>
    <x v="1"/>
    <x v="4"/>
    <x v="0"/>
    <n v="4"/>
  </r>
  <r>
    <s v="Call_8004"/>
    <s v="C0012"/>
    <n v="59"/>
    <n v="0.98333333333333328"/>
    <x v="1"/>
    <x v="0"/>
    <d v="2023-09-15T00:00:00"/>
    <n v="24"/>
    <s v="Low"/>
    <n v="4.8"/>
    <x v="1"/>
    <x v="5"/>
    <x v="2"/>
    <n v="5"/>
  </r>
  <r>
    <s v="Call_8005"/>
    <s v="C0007"/>
    <n v="126"/>
    <n v="2.1"/>
    <x v="0"/>
    <x v="1"/>
    <d v="2023-09-16T00:00:00"/>
    <n v="52"/>
    <s v="Medium"/>
    <n v="1.1000000000000001"/>
    <x v="1"/>
    <x v="6"/>
    <x v="1"/>
    <n v="1"/>
  </r>
  <r>
    <s v="Call_8006"/>
    <s v="C0005"/>
    <n v="43"/>
    <n v="0.71666666666666667"/>
    <x v="1"/>
    <x v="0"/>
    <d v="2023-09-17T00:00:00"/>
    <n v="168"/>
    <s v="Very High"/>
    <n v="4"/>
    <x v="1"/>
    <x v="0"/>
    <x v="2"/>
    <n v="4"/>
  </r>
  <r>
    <s v="Call_8007"/>
    <s v="C0001"/>
    <n v="79"/>
    <n v="1.3166666666666667"/>
    <x v="0"/>
    <x v="4"/>
    <d v="2023-09-19T00:00:00"/>
    <n v="125"/>
    <s v="High"/>
    <n v="4.8"/>
    <x v="1"/>
    <x v="2"/>
    <x v="0"/>
    <n v="5"/>
  </r>
  <r>
    <s v="Call_8008"/>
    <s v="C0003"/>
    <n v="71"/>
    <n v="1.1833333333333333"/>
    <x v="0"/>
    <x v="0"/>
    <d v="2023-09-20T00:00:00"/>
    <n v="50"/>
    <s v="Low"/>
    <n v="4.2"/>
    <x v="1"/>
    <x v="3"/>
    <x v="0"/>
    <n v="4"/>
  </r>
  <r>
    <s v="Call_8009"/>
    <s v="C0009"/>
    <n v="94"/>
    <n v="1.5666666666666667"/>
    <x v="0"/>
    <x v="1"/>
    <d v="2023-09-21T00:00:00"/>
    <n v="220"/>
    <s v="Very High"/>
    <n v="4.5999999999999996"/>
    <x v="1"/>
    <x v="4"/>
    <x v="0"/>
    <n v="5"/>
  </r>
  <r>
    <s v="Call_8010"/>
    <s v="C0010"/>
    <n v="108"/>
    <n v="1.8"/>
    <x v="0"/>
    <x v="0"/>
    <d v="2023-09-21T00:00:00"/>
    <n v="180"/>
    <s v="Very High"/>
    <n v="4"/>
    <x v="1"/>
    <x v="4"/>
    <x v="0"/>
    <n v="4"/>
  </r>
  <r>
    <s v="Call_8011"/>
    <s v="C0005"/>
    <n v="76"/>
    <n v="1.2666666666666666"/>
    <x v="0"/>
    <x v="1"/>
    <d v="2023-09-21T00:00:00"/>
    <n v="110"/>
    <s v="High"/>
    <n v="3.9"/>
    <x v="1"/>
    <x v="4"/>
    <x v="0"/>
    <n v="4"/>
  </r>
  <r>
    <s v="Call_8012"/>
    <s v="C0012"/>
    <n v="136"/>
    <n v="2.2666666666666666"/>
    <x v="0"/>
    <x v="0"/>
    <d v="2023-09-21T00:00:00"/>
    <n v="36"/>
    <s v="Low"/>
    <n v="2.8"/>
    <x v="1"/>
    <x v="4"/>
    <x v="1"/>
    <n v="3"/>
  </r>
  <r>
    <s v="Call_8013"/>
    <s v="C0004"/>
    <n v="129"/>
    <n v="2.15"/>
    <x v="0"/>
    <x v="2"/>
    <d v="2023-09-22T00:00:00"/>
    <n v="93"/>
    <s v="Medium"/>
    <n v="4.7"/>
    <x v="1"/>
    <x v="5"/>
    <x v="1"/>
    <n v="5"/>
  </r>
  <r>
    <s v="Call_8014"/>
    <s v="C0010"/>
    <n v="120"/>
    <n v="2"/>
    <x v="0"/>
    <x v="0"/>
    <d v="2023-09-22T00:00:00"/>
    <n v="38"/>
    <s v="Low"/>
    <n v="4.2"/>
    <x v="1"/>
    <x v="5"/>
    <x v="0"/>
    <n v="4"/>
  </r>
  <r>
    <s v="Call_8015"/>
    <s v="C0005"/>
    <n v="108"/>
    <n v="1.8"/>
    <x v="0"/>
    <x v="2"/>
    <d v="2023-09-23T00:00:00"/>
    <n v="66"/>
    <s v="Medium"/>
    <n v="3.9"/>
    <x v="1"/>
    <x v="6"/>
    <x v="0"/>
    <n v="4"/>
  </r>
  <r>
    <s v="Call_8016"/>
    <s v="C0007"/>
    <n v="79"/>
    <n v="1.3166666666666667"/>
    <x v="0"/>
    <x v="0"/>
    <d v="2023-09-23T00:00:00"/>
    <n v="215"/>
    <s v="Very High"/>
    <n v="4.5999999999999996"/>
    <x v="1"/>
    <x v="6"/>
    <x v="0"/>
    <n v="5"/>
  </r>
  <r>
    <s v="Call_8017"/>
    <s v="C0007"/>
    <n v="45"/>
    <n v="0.75"/>
    <x v="1"/>
    <x v="2"/>
    <d v="2023-09-23T00:00:00"/>
    <n v="92"/>
    <s v="Medium"/>
    <n v="4.3"/>
    <x v="1"/>
    <x v="6"/>
    <x v="2"/>
    <n v="4"/>
  </r>
  <r>
    <s v="Call_8018"/>
    <s v="C0011"/>
    <n v="96"/>
    <n v="1.6"/>
    <x v="0"/>
    <x v="0"/>
    <d v="2023-09-23T00:00:00"/>
    <n v="80"/>
    <s v="Medium"/>
    <n v="3.6"/>
    <x v="1"/>
    <x v="6"/>
    <x v="0"/>
    <n v="4"/>
  </r>
  <r>
    <s v="Call_8019"/>
    <s v="C0011"/>
    <n v="81"/>
    <n v="1.35"/>
    <x v="0"/>
    <x v="0"/>
    <d v="2023-09-24T00:00:00"/>
    <n v="123"/>
    <s v="High"/>
    <n v="4.9000000000000004"/>
    <x v="1"/>
    <x v="0"/>
    <x v="0"/>
    <n v="5"/>
  </r>
  <r>
    <s v="Call_8020"/>
    <s v="C0012"/>
    <n v="95"/>
    <n v="1.5833333333333333"/>
    <x v="0"/>
    <x v="3"/>
    <d v="2023-09-24T00:00:00"/>
    <n v="23"/>
    <s v="Low"/>
    <n v="2.4"/>
    <x v="1"/>
    <x v="0"/>
    <x v="0"/>
    <n v="2"/>
  </r>
  <r>
    <s v="Call_8021"/>
    <s v="C0015"/>
    <n v="159"/>
    <n v="2.65"/>
    <x v="0"/>
    <x v="1"/>
    <d v="2023-09-24T00:00:00"/>
    <n v="63"/>
    <s v="Medium"/>
    <n v="4.2"/>
    <x v="1"/>
    <x v="0"/>
    <x v="1"/>
    <n v="4"/>
  </r>
  <r>
    <s v="Call_8022"/>
    <s v="C0008"/>
    <n v="109"/>
    <n v="1.8166666666666667"/>
    <x v="0"/>
    <x v="4"/>
    <d v="2023-09-24T00:00:00"/>
    <n v="52"/>
    <s v="Medium"/>
    <n v="3.9"/>
    <x v="1"/>
    <x v="0"/>
    <x v="0"/>
    <n v="4"/>
  </r>
  <r>
    <s v="Call_8023"/>
    <s v="C0007"/>
    <n v="107"/>
    <n v="1.7833333333333334"/>
    <x v="0"/>
    <x v="4"/>
    <d v="2023-09-24T00:00:00"/>
    <n v="60"/>
    <s v="Medium"/>
    <n v="4.2"/>
    <x v="1"/>
    <x v="0"/>
    <x v="0"/>
    <n v="4"/>
  </r>
  <r>
    <s v="Call_8024"/>
    <s v="C0011"/>
    <n v="67"/>
    <n v="1.1166666666666667"/>
    <x v="0"/>
    <x v="2"/>
    <d v="2023-09-25T00:00:00"/>
    <n v="87"/>
    <s v="Medium"/>
    <n v="3.9"/>
    <x v="1"/>
    <x v="1"/>
    <x v="0"/>
    <n v="4"/>
  </r>
  <r>
    <s v="Call_8025"/>
    <s v="C0002"/>
    <n v="96"/>
    <n v="1.6"/>
    <x v="0"/>
    <x v="0"/>
    <d v="2023-09-26T00:00:00"/>
    <n v="42"/>
    <s v="Low"/>
    <n v="4.5"/>
    <x v="1"/>
    <x v="2"/>
    <x v="0"/>
    <n v="5"/>
  </r>
  <r>
    <s v="Call_8026"/>
    <s v="C0006"/>
    <n v="142"/>
    <n v="2.3666666666666667"/>
    <x v="0"/>
    <x v="1"/>
    <d v="2023-09-27T00:00:00"/>
    <n v="37"/>
    <s v="Low"/>
    <n v="3.8"/>
    <x v="1"/>
    <x v="3"/>
    <x v="1"/>
    <n v="4"/>
  </r>
  <r>
    <s v="Call_8027"/>
    <s v="C0006"/>
    <n v="71"/>
    <n v="1.1833333333333333"/>
    <x v="0"/>
    <x v="3"/>
    <d v="2023-09-27T00:00:00"/>
    <n v="135"/>
    <s v="High"/>
    <n v="3.9"/>
    <x v="1"/>
    <x v="3"/>
    <x v="0"/>
    <n v="4"/>
  </r>
  <r>
    <s v="Call_8028"/>
    <s v="C0002"/>
    <n v="152"/>
    <n v="2.5333333333333332"/>
    <x v="0"/>
    <x v="3"/>
    <d v="2023-09-27T00:00:00"/>
    <n v="88"/>
    <s v="Medium"/>
    <n v="4.7"/>
    <x v="1"/>
    <x v="3"/>
    <x v="1"/>
    <n v="5"/>
  </r>
  <r>
    <s v="Call_8029"/>
    <s v="C0001"/>
    <n v="108"/>
    <n v="1.8"/>
    <x v="0"/>
    <x v="1"/>
    <d v="2023-09-27T00:00:00"/>
    <n v="190"/>
    <s v="Very High"/>
    <n v="3.2"/>
    <x v="1"/>
    <x v="3"/>
    <x v="0"/>
    <n v="3"/>
  </r>
  <r>
    <s v="Call_8030"/>
    <s v="C0001"/>
    <n v="156"/>
    <n v="2.6"/>
    <x v="0"/>
    <x v="3"/>
    <d v="2023-09-27T00:00:00"/>
    <n v="81"/>
    <s v="Medium"/>
    <n v="5"/>
    <x v="1"/>
    <x v="3"/>
    <x v="1"/>
    <n v="5"/>
  </r>
  <r>
    <s v="Call_8031"/>
    <s v="C0006"/>
    <n v="126"/>
    <n v="2.1"/>
    <x v="0"/>
    <x v="1"/>
    <d v="2023-09-27T00:00:00"/>
    <n v="44"/>
    <s v="Low"/>
    <n v="3.7"/>
    <x v="1"/>
    <x v="3"/>
    <x v="1"/>
    <n v="4"/>
  </r>
  <r>
    <s v="Call_8032"/>
    <s v="C0005"/>
    <n v="135"/>
    <n v="2.25"/>
    <x v="0"/>
    <x v="3"/>
    <d v="2023-09-28T00:00:00"/>
    <n v="92"/>
    <s v="Medium"/>
    <n v="3.9"/>
    <x v="1"/>
    <x v="4"/>
    <x v="1"/>
    <n v="4"/>
  </r>
  <r>
    <s v="Call_8033"/>
    <s v="C0006"/>
    <n v="110"/>
    <n v="1.8333333333333333"/>
    <x v="0"/>
    <x v="0"/>
    <d v="2023-09-29T00:00:00"/>
    <n v="90"/>
    <s v="Medium"/>
    <n v="3.1"/>
    <x v="1"/>
    <x v="5"/>
    <x v="0"/>
    <n v="3"/>
  </r>
  <r>
    <s v="Call_8034"/>
    <s v="C0015"/>
    <n v="64"/>
    <n v="1.0666666666666667"/>
    <x v="0"/>
    <x v="3"/>
    <d v="2023-09-29T00:00:00"/>
    <n v="112"/>
    <s v="High"/>
    <n v="2"/>
    <x v="1"/>
    <x v="5"/>
    <x v="0"/>
    <n v="2"/>
  </r>
  <r>
    <s v="Call_8035"/>
    <s v="C0009"/>
    <n v="127"/>
    <n v="2.1166666666666667"/>
    <x v="0"/>
    <x v="1"/>
    <d v="2023-09-29T00:00:00"/>
    <n v="112"/>
    <s v="High"/>
    <n v="4.5999999999999996"/>
    <x v="1"/>
    <x v="5"/>
    <x v="1"/>
    <n v="5"/>
  </r>
  <r>
    <s v="Call_8036"/>
    <s v="C0008"/>
    <n v="124"/>
    <n v="2.0666666666666669"/>
    <x v="0"/>
    <x v="2"/>
    <d v="2023-09-29T00:00:00"/>
    <n v="48"/>
    <s v="Low"/>
    <n v="3.7"/>
    <x v="1"/>
    <x v="5"/>
    <x v="1"/>
    <n v="4"/>
  </r>
  <r>
    <s v="Call_8037"/>
    <s v="C0015"/>
    <n v="125"/>
    <n v="2.0833333333333335"/>
    <x v="0"/>
    <x v="1"/>
    <d v="2023-09-29T00:00:00"/>
    <n v="116"/>
    <s v="High"/>
    <n v="4.4000000000000004"/>
    <x v="1"/>
    <x v="5"/>
    <x v="1"/>
    <n v="4"/>
  </r>
  <r>
    <s v="Call_8038"/>
    <s v="C0004"/>
    <n v="70"/>
    <n v="1.1666666666666667"/>
    <x v="0"/>
    <x v="1"/>
    <d v="2023-09-29T00:00:00"/>
    <n v="29"/>
    <s v="Low"/>
    <n v="2.1"/>
    <x v="1"/>
    <x v="5"/>
    <x v="0"/>
    <n v="2"/>
  </r>
  <r>
    <s v="Call_8039"/>
    <s v="C0009"/>
    <n v="93"/>
    <n v="1.55"/>
    <x v="0"/>
    <x v="3"/>
    <d v="2023-09-30T00:00:00"/>
    <n v="170"/>
    <s v="Very High"/>
    <n v="2.2000000000000002"/>
    <x v="1"/>
    <x v="6"/>
    <x v="0"/>
    <n v="2"/>
  </r>
  <r>
    <s v="Call_8040"/>
    <s v="C0004"/>
    <n v="120"/>
    <n v="2"/>
    <x v="0"/>
    <x v="4"/>
    <d v="2023-09-30T00:00:00"/>
    <n v="68"/>
    <s v="Medium"/>
    <n v="3.4"/>
    <x v="1"/>
    <x v="6"/>
    <x v="0"/>
    <n v="3"/>
  </r>
  <r>
    <s v="Call_8041"/>
    <s v="C0011"/>
    <n v="96"/>
    <n v="1.6"/>
    <x v="0"/>
    <x v="0"/>
    <d v="2023-09-30T00:00:00"/>
    <n v="195"/>
    <s v="Very High"/>
    <n v="2.7"/>
    <x v="1"/>
    <x v="6"/>
    <x v="0"/>
    <n v="3"/>
  </r>
  <r>
    <s v="Call_8042"/>
    <s v="C0014"/>
    <n v="67"/>
    <n v="1.1166666666666667"/>
    <x v="0"/>
    <x v="0"/>
    <d v="2023-09-30T00:00:00"/>
    <n v="96"/>
    <s v="Medium"/>
    <n v="3.7"/>
    <x v="1"/>
    <x v="6"/>
    <x v="0"/>
    <n v="4"/>
  </r>
  <r>
    <s v="Call_8043"/>
    <s v="C0015"/>
    <n v="119"/>
    <n v="1.9833333333333334"/>
    <x v="0"/>
    <x v="0"/>
    <d v="2023-09-30T00:00:00"/>
    <n v="96"/>
    <s v="Medium"/>
    <n v="3.1"/>
    <x v="1"/>
    <x v="6"/>
    <x v="0"/>
    <n v="3"/>
  </r>
  <r>
    <s v="Call_8044"/>
    <s v="C0008"/>
    <n v="61"/>
    <n v="1.0166666666666666"/>
    <x v="0"/>
    <x v="2"/>
    <d v="2023-09-30T00:00:00"/>
    <n v="117"/>
    <s v="High"/>
    <n v="4.0999999999999996"/>
    <x v="1"/>
    <x v="6"/>
    <x v="0"/>
    <n v="4"/>
  </r>
  <r>
    <s v="Call_8045"/>
    <s v="C0011"/>
    <n v="29"/>
    <n v="0.48333333333333334"/>
    <x v="2"/>
    <x v="3"/>
    <d v="2023-09-30T00:00:00"/>
    <n v="80"/>
    <s v="Medium"/>
    <n v="4.8"/>
    <x v="1"/>
    <x v="6"/>
    <x v="3"/>
    <n v="5"/>
  </r>
  <r>
    <s v="Call_8046"/>
    <s v="C0002"/>
    <n v="134"/>
    <n v="2.2333333333333334"/>
    <x v="0"/>
    <x v="4"/>
    <d v="2023-09-30T00:00:00"/>
    <n v="117"/>
    <s v="High"/>
    <n v="4"/>
    <x v="1"/>
    <x v="6"/>
    <x v="1"/>
    <n v="4"/>
  </r>
  <r>
    <s v="Call_8047"/>
    <s v="C0006"/>
    <n v="113"/>
    <n v="1.8833333333333333"/>
    <x v="0"/>
    <x v="0"/>
    <d v="2023-10-01T00:00:00"/>
    <n v="40"/>
    <s v="Low"/>
    <n v="3"/>
    <x v="1"/>
    <x v="0"/>
    <x v="0"/>
    <n v="3"/>
  </r>
  <r>
    <s v="Call_8048"/>
    <s v="C0001"/>
    <n v="12"/>
    <n v="0.2"/>
    <x v="3"/>
    <x v="4"/>
    <d v="2023-10-01T00:00:00"/>
    <n v="117"/>
    <s v="High"/>
    <n v="4.8"/>
    <x v="1"/>
    <x v="0"/>
    <x v="3"/>
    <n v="5"/>
  </r>
  <r>
    <s v="Call_8049"/>
    <s v="C0013"/>
    <n v="78"/>
    <n v="1.3"/>
    <x v="0"/>
    <x v="3"/>
    <d v="2023-10-01T00:00:00"/>
    <n v="135"/>
    <s v="High"/>
    <n v="4.0999999999999996"/>
    <x v="1"/>
    <x v="0"/>
    <x v="0"/>
    <n v="4"/>
  </r>
  <r>
    <s v="Call_8050"/>
    <s v="C0015"/>
    <n v="82"/>
    <n v="1.3666666666666667"/>
    <x v="0"/>
    <x v="1"/>
    <d v="2023-10-01T00:00:00"/>
    <n v="99"/>
    <s v="Medium"/>
    <n v="4.2"/>
    <x v="1"/>
    <x v="0"/>
    <x v="0"/>
    <n v="4"/>
  </r>
  <r>
    <s v="Call_8051"/>
    <s v="C0010"/>
    <n v="149"/>
    <n v="2.4833333333333334"/>
    <x v="0"/>
    <x v="2"/>
    <d v="2023-10-01T00:00:00"/>
    <n v="130"/>
    <s v="High"/>
    <n v="3.3"/>
    <x v="1"/>
    <x v="0"/>
    <x v="1"/>
    <n v="3"/>
  </r>
  <r>
    <s v="Call_8052"/>
    <s v="C0007"/>
    <n v="56"/>
    <n v="0.93333333333333335"/>
    <x v="1"/>
    <x v="4"/>
    <d v="2023-10-01T00:00:00"/>
    <n v="96"/>
    <s v="Medium"/>
    <n v="4.7"/>
    <x v="1"/>
    <x v="0"/>
    <x v="2"/>
    <n v="5"/>
  </r>
  <r>
    <s v="Call_8053"/>
    <s v="C0011"/>
    <n v="80"/>
    <n v="1.3333333333333333"/>
    <x v="0"/>
    <x v="2"/>
    <d v="2023-10-01T00:00:00"/>
    <n v="128"/>
    <s v="High"/>
    <n v="3.7"/>
    <x v="1"/>
    <x v="0"/>
    <x v="0"/>
    <n v="4"/>
  </r>
  <r>
    <s v="Call_8054"/>
    <s v="C0008"/>
    <n v="131"/>
    <n v="2.1833333333333331"/>
    <x v="0"/>
    <x v="0"/>
    <d v="2023-10-01T00:00:00"/>
    <n v="69"/>
    <s v="Medium"/>
    <n v="4.7"/>
    <x v="1"/>
    <x v="0"/>
    <x v="1"/>
    <n v="5"/>
  </r>
  <r>
    <s v="Call_8055"/>
    <s v="C0008"/>
    <n v="109"/>
    <n v="1.8166666666666667"/>
    <x v="0"/>
    <x v="0"/>
    <d v="2023-10-01T00:00:00"/>
    <n v="44"/>
    <s v="Low"/>
    <n v="4.5999999999999996"/>
    <x v="1"/>
    <x v="0"/>
    <x v="0"/>
    <n v="5"/>
  </r>
  <r>
    <s v="Call_8056"/>
    <s v="C0007"/>
    <n v="142"/>
    <n v="2.3666666666666667"/>
    <x v="0"/>
    <x v="0"/>
    <d v="2023-10-01T00:00:00"/>
    <n v="44"/>
    <s v="Low"/>
    <n v="4.8"/>
    <x v="1"/>
    <x v="0"/>
    <x v="1"/>
    <n v="5"/>
  </r>
  <r>
    <s v="Call_8057"/>
    <s v="C0009"/>
    <n v="114"/>
    <n v="1.9"/>
    <x v="0"/>
    <x v="4"/>
    <d v="2023-10-02T00:00:00"/>
    <n v="135"/>
    <s v="High"/>
    <n v="2"/>
    <x v="1"/>
    <x v="1"/>
    <x v="0"/>
    <n v="2"/>
  </r>
  <r>
    <s v="Call_8058"/>
    <s v="C0014"/>
    <n v="93"/>
    <n v="1.55"/>
    <x v="0"/>
    <x v="2"/>
    <d v="2023-10-02T00:00:00"/>
    <n v="45"/>
    <s v="Low"/>
    <n v="3.9"/>
    <x v="1"/>
    <x v="1"/>
    <x v="0"/>
    <n v="4"/>
  </r>
  <r>
    <s v="Call_8059"/>
    <s v="C0001"/>
    <n v="43"/>
    <n v="0.71666666666666667"/>
    <x v="1"/>
    <x v="2"/>
    <d v="2023-10-02T00:00:00"/>
    <n v="87"/>
    <s v="Medium"/>
    <n v="3"/>
    <x v="1"/>
    <x v="1"/>
    <x v="2"/>
    <n v="3"/>
  </r>
  <r>
    <s v="Call_8060"/>
    <s v="C0002"/>
    <n v="78"/>
    <n v="1.3"/>
    <x v="0"/>
    <x v="3"/>
    <d v="2023-10-03T00:00:00"/>
    <n v="84"/>
    <s v="Medium"/>
    <n v="4.5999999999999996"/>
    <x v="1"/>
    <x v="2"/>
    <x v="0"/>
    <n v="5"/>
  </r>
  <r>
    <s v="Call_8061"/>
    <s v="C0009"/>
    <n v="89"/>
    <n v="1.4833333333333334"/>
    <x v="0"/>
    <x v="0"/>
    <d v="2023-10-03T00:00:00"/>
    <n v="81"/>
    <s v="Medium"/>
    <n v="3.8"/>
    <x v="1"/>
    <x v="2"/>
    <x v="0"/>
    <n v="4"/>
  </r>
  <r>
    <s v="Call_8062"/>
    <s v="C0007"/>
    <n v="82"/>
    <n v="1.3666666666666667"/>
    <x v="0"/>
    <x v="1"/>
    <d v="2023-10-03T00:00:00"/>
    <n v="130"/>
    <s v="High"/>
    <n v="4.4000000000000004"/>
    <x v="1"/>
    <x v="2"/>
    <x v="0"/>
    <n v="4"/>
  </r>
  <r>
    <s v="Call_8063"/>
    <s v="C0011"/>
    <n v="86"/>
    <n v="1.4333333333333333"/>
    <x v="0"/>
    <x v="0"/>
    <d v="2023-10-04T00:00:00"/>
    <n v="92"/>
    <s v="Medium"/>
    <n v="2.4"/>
    <x v="1"/>
    <x v="3"/>
    <x v="0"/>
    <n v="2"/>
  </r>
  <r>
    <s v="Call_8064"/>
    <s v="C0012"/>
    <n v="57"/>
    <n v="0.95"/>
    <x v="1"/>
    <x v="3"/>
    <d v="2023-10-04T00:00:00"/>
    <n v="48"/>
    <s v="Low"/>
    <n v="4.5"/>
    <x v="1"/>
    <x v="3"/>
    <x v="2"/>
    <n v="5"/>
  </r>
  <r>
    <s v="Call_8065"/>
    <s v="C0014"/>
    <n v="103"/>
    <n v="1.7166666666666666"/>
    <x v="0"/>
    <x v="4"/>
    <d v="2023-10-04T00:00:00"/>
    <n v="160"/>
    <s v="Very High"/>
    <n v="4.5"/>
    <x v="1"/>
    <x v="3"/>
    <x v="0"/>
    <n v="5"/>
  </r>
  <r>
    <s v="Call_8066"/>
    <s v="C0013"/>
    <n v="138"/>
    <n v="2.2999999999999998"/>
    <x v="0"/>
    <x v="3"/>
    <d v="2023-10-05T00:00:00"/>
    <n v="155"/>
    <s v="Very High"/>
    <n v="2.7"/>
    <x v="1"/>
    <x v="4"/>
    <x v="1"/>
    <n v="3"/>
  </r>
  <r>
    <s v="Call_8067"/>
    <s v="C0010"/>
    <n v="88"/>
    <n v="1.4666666666666666"/>
    <x v="0"/>
    <x v="1"/>
    <d v="2023-10-05T00:00:00"/>
    <n v="100"/>
    <s v="Medium"/>
    <n v="4.9000000000000004"/>
    <x v="1"/>
    <x v="4"/>
    <x v="0"/>
    <n v="5"/>
  </r>
  <r>
    <s v="Call_8068"/>
    <s v="C0009"/>
    <n v="118"/>
    <n v="1.9666666666666666"/>
    <x v="0"/>
    <x v="2"/>
    <d v="2023-10-05T00:00:00"/>
    <n v="56"/>
    <s v="Medium"/>
    <n v="3.7"/>
    <x v="1"/>
    <x v="4"/>
    <x v="0"/>
    <n v="4"/>
  </r>
  <r>
    <s v="Call_8069"/>
    <s v="C0011"/>
    <n v="4"/>
    <n v="6.6666666666666666E-2"/>
    <x v="3"/>
    <x v="0"/>
    <d v="2023-10-05T00:00:00"/>
    <n v="170"/>
    <s v="Very High"/>
    <n v="3.9"/>
    <x v="1"/>
    <x v="4"/>
    <x v="4"/>
    <n v="4"/>
  </r>
  <r>
    <s v="Call_8070"/>
    <s v="C0001"/>
    <n v="78"/>
    <n v="1.3"/>
    <x v="0"/>
    <x v="4"/>
    <d v="2023-10-06T00:00:00"/>
    <n v="74"/>
    <s v="Medium"/>
    <n v="3.5"/>
    <x v="1"/>
    <x v="5"/>
    <x v="0"/>
    <n v="4"/>
  </r>
  <r>
    <s v="Call_8071"/>
    <s v="C0006"/>
    <n v="69"/>
    <n v="1.1499999999999999"/>
    <x v="0"/>
    <x v="0"/>
    <d v="2023-10-06T00:00:00"/>
    <n v="99"/>
    <s v="Medium"/>
    <n v="2.7"/>
    <x v="1"/>
    <x v="5"/>
    <x v="0"/>
    <n v="3"/>
  </r>
  <r>
    <s v="Call_8072"/>
    <s v="C0007"/>
    <n v="90"/>
    <n v="1.5"/>
    <x v="0"/>
    <x v="3"/>
    <d v="2023-10-06T00:00:00"/>
    <n v="84"/>
    <s v="Medium"/>
    <n v="3.9"/>
    <x v="1"/>
    <x v="5"/>
    <x v="0"/>
    <n v="4"/>
  </r>
  <r>
    <s v="Call_8073"/>
    <s v="C0006"/>
    <n v="134"/>
    <n v="2.2333333333333334"/>
    <x v="0"/>
    <x v="0"/>
    <d v="2023-10-06T00:00:00"/>
    <n v="35"/>
    <s v="Low"/>
    <n v="3.4"/>
    <x v="1"/>
    <x v="5"/>
    <x v="1"/>
    <n v="3"/>
  </r>
  <r>
    <s v="Call_8074"/>
    <s v="C0004"/>
    <n v="65"/>
    <n v="1.0833333333333333"/>
    <x v="0"/>
    <x v="2"/>
    <d v="2023-10-06T00:00:00"/>
    <n v="150"/>
    <s v="High"/>
    <n v="5"/>
    <x v="1"/>
    <x v="5"/>
    <x v="0"/>
    <n v="5"/>
  </r>
  <r>
    <s v="Call_8075"/>
    <s v="C0005"/>
    <n v="54"/>
    <n v="0.9"/>
    <x v="1"/>
    <x v="4"/>
    <d v="2023-10-07T00:00:00"/>
    <n v="176"/>
    <s v="Very High"/>
    <n v="4.4000000000000004"/>
    <x v="1"/>
    <x v="6"/>
    <x v="2"/>
    <n v="4"/>
  </r>
  <r>
    <s v="Call_8076"/>
    <s v="C0005"/>
    <n v="90"/>
    <n v="1.5"/>
    <x v="0"/>
    <x v="4"/>
    <d v="2023-10-07T00:00:00"/>
    <n v="84"/>
    <s v="Medium"/>
    <n v="4.3"/>
    <x v="1"/>
    <x v="6"/>
    <x v="0"/>
    <n v="4"/>
  </r>
  <r>
    <s v="Call_8077"/>
    <s v="C0007"/>
    <n v="66"/>
    <n v="1.1000000000000001"/>
    <x v="0"/>
    <x v="4"/>
    <d v="2023-10-07T00:00:00"/>
    <n v="136"/>
    <s v="High"/>
    <n v="4.7"/>
    <x v="1"/>
    <x v="6"/>
    <x v="0"/>
    <n v="5"/>
  </r>
  <r>
    <s v="Call_8078"/>
    <s v="C0011"/>
    <n v="150"/>
    <n v="2.5"/>
    <x v="0"/>
    <x v="4"/>
    <d v="2023-10-08T00:00:00"/>
    <n v="70"/>
    <s v="Medium"/>
    <n v="4.0999999999999996"/>
    <x v="1"/>
    <x v="0"/>
    <x v="1"/>
    <n v="4"/>
  </r>
  <r>
    <s v="Call_8079"/>
    <s v="C0002"/>
    <n v="18"/>
    <n v="0.3"/>
    <x v="2"/>
    <x v="2"/>
    <d v="2023-10-08T00:00:00"/>
    <n v="96"/>
    <s v="Medium"/>
    <n v="4.8"/>
    <x v="1"/>
    <x v="0"/>
    <x v="3"/>
    <n v="5"/>
  </r>
  <r>
    <s v="Call_8080"/>
    <s v="C0005"/>
    <n v="87"/>
    <n v="1.45"/>
    <x v="0"/>
    <x v="2"/>
    <d v="2023-10-08T00:00:00"/>
    <n v="23"/>
    <s v="Low"/>
    <n v="4.2"/>
    <x v="1"/>
    <x v="0"/>
    <x v="0"/>
    <n v="4"/>
  </r>
  <r>
    <s v="Call_8081"/>
    <s v="C0013"/>
    <n v="94"/>
    <n v="1.5666666666666667"/>
    <x v="0"/>
    <x v="4"/>
    <d v="2023-10-09T00:00:00"/>
    <n v="120"/>
    <s v="High"/>
    <n v="3.4"/>
    <x v="1"/>
    <x v="1"/>
    <x v="0"/>
    <n v="3"/>
  </r>
  <r>
    <s v="Call_8082"/>
    <s v="C0012"/>
    <n v="56"/>
    <n v="0.93333333333333335"/>
    <x v="1"/>
    <x v="4"/>
    <d v="2023-10-09T00:00:00"/>
    <n v="205"/>
    <s v="Very High"/>
    <n v="3.3"/>
    <x v="1"/>
    <x v="1"/>
    <x v="2"/>
    <n v="3"/>
  </r>
  <r>
    <s v="Call_8083"/>
    <s v="C0009"/>
    <n v="41"/>
    <n v="0.68333333333333335"/>
    <x v="1"/>
    <x v="1"/>
    <d v="2023-10-10T00:00:00"/>
    <n v="42"/>
    <s v="Low"/>
    <n v="3.8"/>
    <x v="1"/>
    <x v="2"/>
    <x v="2"/>
    <n v="4"/>
  </r>
  <r>
    <s v="Call_8084"/>
    <s v="C0011"/>
    <n v="119"/>
    <n v="1.9833333333333334"/>
    <x v="0"/>
    <x v="3"/>
    <d v="2023-10-10T00:00:00"/>
    <n v="111"/>
    <s v="High"/>
    <n v="3.9"/>
    <x v="1"/>
    <x v="2"/>
    <x v="0"/>
    <n v="4"/>
  </r>
  <r>
    <s v="Call_8085"/>
    <s v="C0014"/>
    <n v="108"/>
    <n v="1.8"/>
    <x v="0"/>
    <x v="4"/>
    <d v="2023-10-10T00:00:00"/>
    <n v="68"/>
    <s v="Medium"/>
    <n v="2.5"/>
    <x v="1"/>
    <x v="2"/>
    <x v="0"/>
    <n v="3"/>
  </r>
  <r>
    <s v="Call_8086"/>
    <s v="C0001"/>
    <n v="63"/>
    <n v="1.05"/>
    <x v="0"/>
    <x v="0"/>
    <d v="2023-10-10T00:00:00"/>
    <n v="172"/>
    <s v="Very High"/>
    <n v="4.9000000000000004"/>
    <x v="1"/>
    <x v="2"/>
    <x v="0"/>
    <n v="5"/>
  </r>
  <r>
    <s v="Call_8087"/>
    <s v="C0015"/>
    <n v="59"/>
    <n v="0.98333333333333328"/>
    <x v="1"/>
    <x v="4"/>
    <d v="2023-10-10T00:00:00"/>
    <n v="152"/>
    <s v="Very High"/>
    <n v="4.8"/>
    <x v="1"/>
    <x v="2"/>
    <x v="2"/>
    <n v="5"/>
  </r>
  <r>
    <s v="Call_8088"/>
    <s v="C0015"/>
    <n v="90"/>
    <n v="1.5"/>
    <x v="0"/>
    <x v="1"/>
    <d v="2023-10-10T00:00:00"/>
    <n v="48"/>
    <s v="Low"/>
    <n v="4.7"/>
    <x v="1"/>
    <x v="2"/>
    <x v="0"/>
    <n v="5"/>
  </r>
  <r>
    <s v="Call_8089"/>
    <s v="C0010"/>
    <n v="55"/>
    <n v="0.91666666666666663"/>
    <x v="1"/>
    <x v="1"/>
    <d v="2023-10-10T00:00:00"/>
    <n v="25"/>
    <s v="Low"/>
    <n v="4.7"/>
    <x v="1"/>
    <x v="2"/>
    <x v="2"/>
    <n v="5"/>
  </r>
  <r>
    <s v="Call_8090"/>
    <s v="C0014"/>
    <n v="84"/>
    <n v="1.4"/>
    <x v="0"/>
    <x v="3"/>
    <d v="2023-10-11T00:00:00"/>
    <n v="54"/>
    <s v="Medium"/>
    <n v="3.3"/>
    <x v="1"/>
    <x v="3"/>
    <x v="0"/>
    <n v="3"/>
  </r>
  <r>
    <s v="Call_8091"/>
    <s v="C0014"/>
    <n v="150"/>
    <n v="2.5"/>
    <x v="0"/>
    <x v="2"/>
    <d v="2023-10-11T00:00:00"/>
    <n v="108"/>
    <s v="High"/>
    <n v="4.7"/>
    <x v="1"/>
    <x v="3"/>
    <x v="1"/>
    <n v="5"/>
  </r>
  <r>
    <s v="Call_8092"/>
    <s v="C0008"/>
    <n v="69"/>
    <n v="1.1499999999999999"/>
    <x v="0"/>
    <x v="4"/>
    <d v="2023-10-11T00:00:00"/>
    <n v="36"/>
    <s v="Low"/>
    <n v="4.5"/>
    <x v="1"/>
    <x v="3"/>
    <x v="0"/>
    <n v="5"/>
  </r>
  <r>
    <s v="Call_8093"/>
    <s v="C0003"/>
    <n v="120"/>
    <n v="2"/>
    <x v="0"/>
    <x v="1"/>
    <d v="2023-10-12T00:00:00"/>
    <n v="140"/>
    <s v="High"/>
    <n v="4.5999999999999996"/>
    <x v="1"/>
    <x v="4"/>
    <x v="0"/>
    <n v="5"/>
  </r>
  <r>
    <s v="Call_8094"/>
    <s v="C0005"/>
    <n v="126"/>
    <n v="2.1"/>
    <x v="0"/>
    <x v="3"/>
    <d v="2023-10-12T00:00:00"/>
    <n v="50"/>
    <s v="Low"/>
    <n v="4.8"/>
    <x v="1"/>
    <x v="4"/>
    <x v="1"/>
    <n v="5"/>
  </r>
  <r>
    <s v="Call_8095"/>
    <s v="C0008"/>
    <n v="120"/>
    <n v="2"/>
    <x v="0"/>
    <x v="0"/>
    <d v="2023-10-12T00:00:00"/>
    <n v="195"/>
    <s v="Very High"/>
    <n v="4.3"/>
    <x v="1"/>
    <x v="4"/>
    <x v="0"/>
    <n v="4"/>
  </r>
  <r>
    <s v="Call_8096"/>
    <s v="C0005"/>
    <n v="139"/>
    <n v="2.3166666666666669"/>
    <x v="0"/>
    <x v="1"/>
    <d v="2023-10-13T00:00:00"/>
    <n v="48"/>
    <s v="Low"/>
    <n v="4.7"/>
    <x v="1"/>
    <x v="5"/>
    <x v="1"/>
    <n v="5"/>
  </r>
  <r>
    <s v="Call_8097"/>
    <s v="C0010"/>
    <n v="124"/>
    <n v="2.0666666666666669"/>
    <x v="0"/>
    <x v="4"/>
    <d v="2023-10-14T00:00:00"/>
    <n v="29"/>
    <s v="Low"/>
    <n v="4.8"/>
    <x v="1"/>
    <x v="6"/>
    <x v="1"/>
    <n v="5"/>
  </r>
  <r>
    <s v="Call_8098"/>
    <s v="C0003"/>
    <n v="108"/>
    <n v="1.8"/>
    <x v="0"/>
    <x v="0"/>
    <d v="2023-10-14T00:00:00"/>
    <n v="44"/>
    <s v="Low"/>
    <n v="4.7"/>
    <x v="1"/>
    <x v="6"/>
    <x v="0"/>
    <n v="5"/>
  </r>
  <r>
    <s v="Call_8099"/>
    <s v="C0004"/>
    <n v="132"/>
    <n v="2.2000000000000002"/>
    <x v="0"/>
    <x v="2"/>
    <d v="2023-10-14T00:00:00"/>
    <n v="140"/>
    <s v="High"/>
    <n v="4.3"/>
    <x v="1"/>
    <x v="6"/>
    <x v="1"/>
    <n v="4"/>
  </r>
  <r>
    <s v="Call_8100"/>
    <s v="C0001"/>
    <n v="67"/>
    <n v="1.1166666666666667"/>
    <x v="0"/>
    <x v="2"/>
    <d v="2023-10-14T00:00:00"/>
    <n v="105"/>
    <s v="High"/>
    <n v="3.8"/>
    <x v="1"/>
    <x v="6"/>
    <x v="0"/>
    <n v="4"/>
  </r>
  <r>
    <s v="Call_8101"/>
    <s v="C0007"/>
    <n v="125"/>
    <n v="2.0833333333333335"/>
    <x v="0"/>
    <x v="2"/>
    <d v="2023-10-14T00:00:00"/>
    <n v="82"/>
    <s v="Medium"/>
    <n v="4.5999999999999996"/>
    <x v="1"/>
    <x v="6"/>
    <x v="1"/>
    <n v="5"/>
  </r>
  <r>
    <s v="Call_8102"/>
    <s v="C0003"/>
    <n v="23"/>
    <n v="0.38333333333333336"/>
    <x v="2"/>
    <x v="0"/>
    <d v="2023-10-14T00:00:00"/>
    <n v="24"/>
    <s v="Low"/>
    <n v="2.9"/>
    <x v="1"/>
    <x v="6"/>
    <x v="3"/>
    <n v="3"/>
  </r>
  <r>
    <s v="Call_8103"/>
    <s v="C0011"/>
    <n v="131"/>
    <n v="2.1833333333333331"/>
    <x v="0"/>
    <x v="4"/>
    <d v="2023-10-15T00:00:00"/>
    <n v="205"/>
    <s v="Very High"/>
    <n v="4.8"/>
    <x v="1"/>
    <x v="0"/>
    <x v="1"/>
    <n v="5"/>
  </r>
  <r>
    <s v="Call_8104"/>
    <s v="C0004"/>
    <n v="56"/>
    <n v="0.93333333333333335"/>
    <x v="1"/>
    <x v="1"/>
    <d v="2023-10-15T00:00:00"/>
    <n v="225"/>
    <s v="Very High"/>
    <n v="4.9000000000000004"/>
    <x v="1"/>
    <x v="0"/>
    <x v="2"/>
    <n v="5"/>
  </r>
  <r>
    <s v="Call_8105"/>
    <s v="C0011"/>
    <n v="70"/>
    <n v="1.1666666666666667"/>
    <x v="0"/>
    <x v="4"/>
    <d v="2023-10-15T00:00:00"/>
    <n v="50"/>
    <s v="Low"/>
    <n v="3.4"/>
    <x v="1"/>
    <x v="0"/>
    <x v="0"/>
    <n v="3"/>
  </r>
  <r>
    <s v="Call_8106"/>
    <s v="C0011"/>
    <n v="55"/>
    <n v="0.91666666666666663"/>
    <x v="1"/>
    <x v="2"/>
    <d v="2023-10-15T00:00:00"/>
    <n v="80"/>
    <s v="Medium"/>
    <n v="4.3"/>
    <x v="1"/>
    <x v="0"/>
    <x v="2"/>
    <n v="4"/>
  </r>
  <r>
    <s v="Call_8107"/>
    <s v="C0007"/>
    <n v="77"/>
    <n v="1.2833333333333334"/>
    <x v="0"/>
    <x v="1"/>
    <d v="2023-10-15T00:00:00"/>
    <n v="78"/>
    <s v="Medium"/>
    <n v="3.9"/>
    <x v="1"/>
    <x v="0"/>
    <x v="0"/>
    <n v="4"/>
  </r>
  <r>
    <s v="Call_8108"/>
    <s v="C0014"/>
    <n v="133"/>
    <n v="2.2166666666666668"/>
    <x v="0"/>
    <x v="4"/>
    <d v="2023-10-16T00:00:00"/>
    <n v="40"/>
    <s v="Low"/>
    <n v="3.9"/>
    <x v="1"/>
    <x v="1"/>
    <x v="1"/>
    <n v="4"/>
  </r>
  <r>
    <s v="Call_8109"/>
    <s v="C0007"/>
    <n v="77"/>
    <n v="1.2833333333333334"/>
    <x v="0"/>
    <x v="1"/>
    <d v="2023-10-16T00:00:00"/>
    <n v="176"/>
    <s v="Very High"/>
    <n v="1.5"/>
    <x v="1"/>
    <x v="1"/>
    <x v="0"/>
    <n v="2"/>
  </r>
  <r>
    <s v="Call_8110"/>
    <s v="C0015"/>
    <n v="103"/>
    <n v="1.7166666666666666"/>
    <x v="0"/>
    <x v="4"/>
    <d v="2023-10-16T00:00:00"/>
    <n v="78"/>
    <s v="Medium"/>
    <n v="3"/>
    <x v="1"/>
    <x v="1"/>
    <x v="0"/>
    <n v="3"/>
  </r>
  <r>
    <s v="Call_8111"/>
    <s v="C0008"/>
    <n v="32"/>
    <n v="0.53333333333333333"/>
    <x v="1"/>
    <x v="1"/>
    <d v="2023-10-16T00:00:00"/>
    <n v="42"/>
    <s v="Low"/>
    <n v="4.2"/>
    <x v="1"/>
    <x v="1"/>
    <x v="2"/>
    <n v="4"/>
  </r>
  <r>
    <s v="Call_8112"/>
    <s v="C0014"/>
    <n v="30"/>
    <n v="0.5"/>
    <x v="2"/>
    <x v="4"/>
    <d v="2023-10-16T00:00:00"/>
    <n v="38"/>
    <s v="Low"/>
    <n v="3.7"/>
    <x v="1"/>
    <x v="1"/>
    <x v="3"/>
    <n v="4"/>
  </r>
  <r>
    <s v="Call_8113"/>
    <s v="C0005"/>
    <n v="87"/>
    <n v="1.45"/>
    <x v="0"/>
    <x v="3"/>
    <d v="2023-10-16T00:00:00"/>
    <n v="27"/>
    <s v="Low"/>
    <n v="4.2"/>
    <x v="1"/>
    <x v="1"/>
    <x v="0"/>
    <n v="4"/>
  </r>
  <r>
    <s v="Call_8114"/>
    <s v="C0007"/>
    <n v="137"/>
    <n v="2.2833333333333332"/>
    <x v="0"/>
    <x v="0"/>
    <d v="2023-10-17T00:00:00"/>
    <n v="45"/>
    <s v="Low"/>
    <n v="4.4000000000000004"/>
    <x v="1"/>
    <x v="2"/>
    <x v="1"/>
    <n v="4"/>
  </r>
  <r>
    <s v="Call_8115"/>
    <s v="C0013"/>
    <n v="96"/>
    <n v="1.6"/>
    <x v="0"/>
    <x v="4"/>
    <d v="2023-10-17T00:00:00"/>
    <n v="215"/>
    <s v="Very High"/>
    <n v="4"/>
    <x v="1"/>
    <x v="2"/>
    <x v="0"/>
    <n v="4"/>
  </r>
  <r>
    <s v="Call_8116"/>
    <s v="C0010"/>
    <n v="155"/>
    <n v="2.5833333333333335"/>
    <x v="0"/>
    <x v="4"/>
    <d v="2023-10-18T00:00:00"/>
    <n v="72"/>
    <s v="Medium"/>
    <n v="4.7"/>
    <x v="1"/>
    <x v="3"/>
    <x v="1"/>
    <n v="5"/>
  </r>
  <r>
    <s v="Call_8117"/>
    <s v="C0014"/>
    <n v="173"/>
    <n v="2.8833333333333333"/>
    <x v="0"/>
    <x v="2"/>
    <d v="2023-10-18T00:00:00"/>
    <n v="160"/>
    <s v="Very High"/>
    <n v="2.8"/>
    <x v="1"/>
    <x v="3"/>
    <x v="1"/>
    <n v="3"/>
  </r>
  <r>
    <s v="Call_8118"/>
    <s v="C0010"/>
    <n v="127"/>
    <n v="2.1166666666666667"/>
    <x v="0"/>
    <x v="4"/>
    <d v="2023-10-18T00:00:00"/>
    <n v="165"/>
    <s v="Very High"/>
    <n v="2.5"/>
    <x v="1"/>
    <x v="3"/>
    <x v="1"/>
    <n v="3"/>
  </r>
  <r>
    <s v="Call_8119"/>
    <s v="C0004"/>
    <n v="117"/>
    <n v="1.95"/>
    <x v="0"/>
    <x v="2"/>
    <d v="2023-10-18T00:00:00"/>
    <n v="120"/>
    <s v="High"/>
    <n v="3.4"/>
    <x v="1"/>
    <x v="3"/>
    <x v="0"/>
    <n v="3"/>
  </r>
  <r>
    <s v="Call_8120"/>
    <s v="C0003"/>
    <n v="133"/>
    <n v="2.2166666666666668"/>
    <x v="0"/>
    <x v="1"/>
    <d v="2023-10-18T00:00:00"/>
    <n v="117"/>
    <s v="High"/>
    <n v="4.8"/>
    <x v="1"/>
    <x v="3"/>
    <x v="1"/>
    <n v="5"/>
  </r>
  <r>
    <s v="Call_8121"/>
    <s v="C0002"/>
    <n v="166"/>
    <n v="2.7666666666666666"/>
    <x v="0"/>
    <x v="3"/>
    <d v="2023-10-19T00:00:00"/>
    <n v="29"/>
    <s v="Low"/>
    <n v="4.3"/>
    <x v="1"/>
    <x v="4"/>
    <x v="1"/>
    <n v="4"/>
  </r>
  <r>
    <s v="Call_8122"/>
    <s v="C0003"/>
    <n v="50"/>
    <n v="0.83333333333333337"/>
    <x v="1"/>
    <x v="2"/>
    <d v="2023-10-19T00:00:00"/>
    <n v="64"/>
    <s v="Medium"/>
    <n v="4.5"/>
    <x v="1"/>
    <x v="4"/>
    <x v="2"/>
    <n v="5"/>
  </r>
  <r>
    <s v="Call_8123"/>
    <s v="C0015"/>
    <n v="43"/>
    <n v="0.71666666666666667"/>
    <x v="1"/>
    <x v="1"/>
    <d v="2023-10-19T00:00:00"/>
    <n v="84"/>
    <s v="Medium"/>
    <n v="3.6"/>
    <x v="1"/>
    <x v="4"/>
    <x v="2"/>
    <n v="4"/>
  </r>
  <r>
    <s v="Call_8124"/>
    <s v="C0013"/>
    <n v="124"/>
    <n v="2.0666666666666669"/>
    <x v="0"/>
    <x v="4"/>
    <d v="2023-10-19T00:00:00"/>
    <n v="42"/>
    <s v="Low"/>
    <n v="3.7"/>
    <x v="1"/>
    <x v="4"/>
    <x v="1"/>
    <n v="4"/>
  </r>
  <r>
    <s v="Call_8125"/>
    <s v="C0014"/>
    <n v="94"/>
    <n v="1.5666666666666667"/>
    <x v="0"/>
    <x v="4"/>
    <d v="2023-10-19T00:00:00"/>
    <n v="120"/>
    <s v="High"/>
    <n v="3.5"/>
    <x v="1"/>
    <x v="4"/>
    <x v="0"/>
    <n v="4"/>
  </r>
  <r>
    <s v="Call_8126"/>
    <s v="C0015"/>
    <n v="126"/>
    <n v="2.1"/>
    <x v="0"/>
    <x v="3"/>
    <d v="2023-10-20T00:00:00"/>
    <n v="80"/>
    <s v="Medium"/>
    <n v="4.7"/>
    <x v="1"/>
    <x v="5"/>
    <x v="1"/>
    <n v="5"/>
  </r>
  <r>
    <s v="Call_8127"/>
    <s v="C0002"/>
    <n v="105"/>
    <n v="1.75"/>
    <x v="0"/>
    <x v="2"/>
    <d v="2023-10-20T00:00:00"/>
    <n v="185"/>
    <s v="Very High"/>
    <n v="3.5"/>
    <x v="1"/>
    <x v="5"/>
    <x v="0"/>
    <n v="4"/>
  </r>
  <r>
    <s v="Call_8128"/>
    <s v="C0011"/>
    <n v="60"/>
    <n v="1"/>
    <x v="1"/>
    <x v="0"/>
    <d v="2023-10-21T00:00:00"/>
    <n v="135"/>
    <s v="High"/>
    <n v="3.9"/>
    <x v="1"/>
    <x v="6"/>
    <x v="2"/>
    <n v="4"/>
  </r>
  <r>
    <s v="Call_8129"/>
    <s v="C0011"/>
    <n v="72"/>
    <n v="1.2"/>
    <x v="0"/>
    <x v="2"/>
    <d v="2023-10-21T00:00:00"/>
    <n v="20"/>
    <s v="Low"/>
    <n v="4.8"/>
    <x v="1"/>
    <x v="6"/>
    <x v="0"/>
    <n v="5"/>
  </r>
  <r>
    <s v="Call_8130"/>
    <s v="C0012"/>
    <n v="40"/>
    <n v="0.66666666666666663"/>
    <x v="1"/>
    <x v="2"/>
    <d v="2023-10-21T00:00:00"/>
    <n v="31"/>
    <s v="Low"/>
    <n v="4"/>
    <x v="1"/>
    <x v="6"/>
    <x v="2"/>
    <n v="4"/>
  </r>
  <r>
    <s v="Call_8131"/>
    <s v="C0008"/>
    <n v="54"/>
    <n v="0.9"/>
    <x v="1"/>
    <x v="3"/>
    <d v="2023-10-22T00:00:00"/>
    <n v="120"/>
    <s v="High"/>
    <n v="4.7"/>
    <x v="1"/>
    <x v="0"/>
    <x v="2"/>
    <n v="5"/>
  </r>
  <r>
    <s v="Call_8132"/>
    <s v="C0004"/>
    <n v="81"/>
    <n v="1.35"/>
    <x v="0"/>
    <x v="1"/>
    <d v="2023-10-22T00:00:00"/>
    <n v="117"/>
    <s v="High"/>
    <n v="3.6"/>
    <x v="1"/>
    <x v="0"/>
    <x v="0"/>
    <n v="4"/>
  </r>
  <r>
    <s v="Call_8133"/>
    <s v="C0008"/>
    <n v="76"/>
    <n v="1.2666666666666666"/>
    <x v="0"/>
    <x v="4"/>
    <d v="2023-10-22T00:00:00"/>
    <n v="80"/>
    <s v="Medium"/>
    <n v="4.5"/>
    <x v="1"/>
    <x v="0"/>
    <x v="0"/>
    <n v="5"/>
  </r>
  <r>
    <s v="Call_8134"/>
    <s v="C0008"/>
    <n v="37"/>
    <n v="0.6166666666666667"/>
    <x v="1"/>
    <x v="0"/>
    <d v="2023-10-23T00:00:00"/>
    <n v="117"/>
    <s v="High"/>
    <n v="4"/>
    <x v="1"/>
    <x v="1"/>
    <x v="2"/>
    <n v="4"/>
  </r>
  <r>
    <s v="Call_8135"/>
    <s v="C0002"/>
    <n v="96"/>
    <n v="1.6"/>
    <x v="0"/>
    <x v="3"/>
    <d v="2023-10-23T00:00:00"/>
    <n v="60"/>
    <s v="Medium"/>
    <n v="4.5"/>
    <x v="1"/>
    <x v="1"/>
    <x v="0"/>
    <n v="5"/>
  </r>
  <r>
    <s v="Call_8136"/>
    <s v="C0011"/>
    <n v="19"/>
    <n v="0.31666666666666665"/>
    <x v="2"/>
    <x v="4"/>
    <d v="2023-10-24T00:00:00"/>
    <n v="58"/>
    <s v="Medium"/>
    <n v="3.9"/>
    <x v="1"/>
    <x v="2"/>
    <x v="3"/>
    <n v="4"/>
  </r>
  <r>
    <s v="Call_8137"/>
    <s v="C0012"/>
    <n v="72"/>
    <n v="1.2"/>
    <x v="0"/>
    <x v="0"/>
    <d v="2023-10-24T00:00:00"/>
    <n v="41"/>
    <s v="Low"/>
    <n v="4.3"/>
    <x v="1"/>
    <x v="2"/>
    <x v="0"/>
    <n v="4"/>
  </r>
  <r>
    <s v="Call_8138"/>
    <s v="C0014"/>
    <n v="73"/>
    <n v="1.2166666666666666"/>
    <x v="0"/>
    <x v="1"/>
    <d v="2023-10-24T00:00:00"/>
    <n v="180"/>
    <s v="Very High"/>
    <n v="3.6"/>
    <x v="1"/>
    <x v="2"/>
    <x v="0"/>
    <n v="4"/>
  </r>
  <r>
    <s v="Call_8139"/>
    <s v="C0001"/>
    <n v="87"/>
    <n v="1.45"/>
    <x v="0"/>
    <x v="1"/>
    <d v="2023-10-24T00:00:00"/>
    <n v="42"/>
    <s v="Low"/>
    <n v="3.6"/>
    <x v="1"/>
    <x v="2"/>
    <x v="0"/>
    <n v="4"/>
  </r>
  <r>
    <s v="Call_8140"/>
    <s v="C0001"/>
    <n v="68"/>
    <n v="1.1333333333333333"/>
    <x v="0"/>
    <x v="1"/>
    <d v="2023-10-25T00:00:00"/>
    <n v="24"/>
    <s v="Low"/>
    <n v="4"/>
    <x v="1"/>
    <x v="3"/>
    <x v="0"/>
    <n v="4"/>
  </r>
  <r>
    <s v="Call_8141"/>
    <s v="C0012"/>
    <n v="101"/>
    <n v="1.6833333333333333"/>
    <x v="0"/>
    <x v="1"/>
    <d v="2023-10-25T00:00:00"/>
    <n v="125"/>
    <s v="High"/>
    <n v="4.2"/>
    <x v="1"/>
    <x v="3"/>
    <x v="0"/>
    <n v="4"/>
  </r>
  <r>
    <s v="Call_8142"/>
    <s v="C0012"/>
    <n v="107"/>
    <n v="1.7833333333333334"/>
    <x v="0"/>
    <x v="0"/>
    <d v="2023-10-26T00:00:00"/>
    <n v="78"/>
    <s v="Medium"/>
    <n v="4.3"/>
    <x v="1"/>
    <x v="4"/>
    <x v="0"/>
    <n v="4"/>
  </r>
  <r>
    <s v="Call_8143"/>
    <s v="C0009"/>
    <n v="109"/>
    <n v="1.8166666666666667"/>
    <x v="0"/>
    <x v="2"/>
    <d v="2023-10-26T00:00:00"/>
    <n v="180"/>
    <s v="Very High"/>
    <n v="3.8"/>
    <x v="1"/>
    <x v="4"/>
    <x v="0"/>
    <n v="4"/>
  </r>
  <r>
    <s v="Call_8144"/>
    <s v="C0013"/>
    <n v="171"/>
    <n v="2.85"/>
    <x v="0"/>
    <x v="0"/>
    <d v="2023-10-26T00:00:00"/>
    <n v="84"/>
    <s v="Medium"/>
    <n v="4.4000000000000004"/>
    <x v="1"/>
    <x v="4"/>
    <x v="1"/>
    <n v="4"/>
  </r>
  <r>
    <s v="Call_8145"/>
    <s v="C0011"/>
    <n v="21"/>
    <n v="0.35"/>
    <x v="2"/>
    <x v="0"/>
    <d v="2023-10-26T00:00:00"/>
    <n v="26"/>
    <s v="Low"/>
    <n v="4.7"/>
    <x v="1"/>
    <x v="4"/>
    <x v="3"/>
    <n v="5"/>
  </r>
  <r>
    <s v="Call_8146"/>
    <s v="C0004"/>
    <n v="94"/>
    <n v="1.5666666666666667"/>
    <x v="0"/>
    <x v="0"/>
    <d v="2023-10-27T00:00:00"/>
    <n v="140"/>
    <s v="High"/>
    <n v="3.6"/>
    <x v="1"/>
    <x v="5"/>
    <x v="0"/>
    <n v="4"/>
  </r>
  <r>
    <s v="Call_8147"/>
    <s v="C0014"/>
    <n v="97"/>
    <n v="1.6166666666666667"/>
    <x v="0"/>
    <x v="2"/>
    <d v="2023-10-27T00:00:00"/>
    <n v="31"/>
    <s v="Low"/>
    <n v="2.2000000000000002"/>
    <x v="1"/>
    <x v="5"/>
    <x v="0"/>
    <n v="2"/>
  </r>
  <r>
    <s v="Call_8148"/>
    <s v="C0002"/>
    <n v="72"/>
    <n v="1.2"/>
    <x v="0"/>
    <x v="2"/>
    <d v="2023-10-27T00:00:00"/>
    <n v="108"/>
    <s v="High"/>
    <n v="4.8"/>
    <x v="1"/>
    <x v="5"/>
    <x v="0"/>
    <n v="5"/>
  </r>
  <r>
    <s v="Call_8149"/>
    <s v="C0013"/>
    <n v="143"/>
    <n v="2.3833333333333333"/>
    <x v="0"/>
    <x v="3"/>
    <d v="2023-10-28T00:00:00"/>
    <n v="58"/>
    <s v="Medium"/>
    <n v="4.3"/>
    <x v="1"/>
    <x v="6"/>
    <x v="1"/>
    <n v="4"/>
  </r>
  <r>
    <s v="Call_8150"/>
    <s v="C0013"/>
    <n v="64"/>
    <n v="1.0666666666666667"/>
    <x v="0"/>
    <x v="2"/>
    <d v="2023-10-28T00:00:00"/>
    <n v="185"/>
    <s v="Very High"/>
    <n v="2.2000000000000002"/>
    <x v="1"/>
    <x v="6"/>
    <x v="0"/>
    <n v="2"/>
  </r>
  <r>
    <s v="Call_8151"/>
    <s v="C0013"/>
    <n v="69"/>
    <n v="1.1499999999999999"/>
    <x v="0"/>
    <x v="2"/>
    <d v="2023-10-28T00:00:00"/>
    <n v="40"/>
    <s v="Low"/>
    <n v="4.8"/>
    <x v="1"/>
    <x v="6"/>
    <x v="0"/>
    <n v="5"/>
  </r>
  <r>
    <s v="Call_8152"/>
    <s v="C0013"/>
    <n v="18"/>
    <n v="0.3"/>
    <x v="2"/>
    <x v="4"/>
    <d v="2023-10-28T00:00:00"/>
    <n v="225"/>
    <s v="Very High"/>
    <n v="2.6"/>
    <x v="1"/>
    <x v="6"/>
    <x v="3"/>
    <n v="3"/>
  </r>
  <r>
    <s v="Call_8153"/>
    <s v="C0014"/>
    <n v="100"/>
    <n v="1.6666666666666667"/>
    <x v="0"/>
    <x v="3"/>
    <d v="2023-10-28T00:00:00"/>
    <n v="150"/>
    <s v="High"/>
    <n v="2.6"/>
    <x v="1"/>
    <x v="6"/>
    <x v="0"/>
    <n v="3"/>
  </r>
  <r>
    <s v="Call_8154"/>
    <s v="C0010"/>
    <n v="110"/>
    <n v="1.8333333333333333"/>
    <x v="0"/>
    <x v="1"/>
    <d v="2023-10-29T00:00:00"/>
    <n v="88"/>
    <s v="Medium"/>
    <n v="3.4"/>
    <x v="1"/>
    <x v="0"/>
    <x v="0"/>
    <n v="3"/>
  </r>
  <r>
    <s v="Call_8155"/>
    <s v="C0006"/>
    <n v="41"/>
    <n v="0.68333333333333335"/>
    <x v="1"/>
    <x v="0"/>
    <d v="2023-10-29T00:00:00"/>
    <n v="140"/>
    <s v="High"/>
    <n v="3.7"/>
    <x v="1"/>
    <x v="0"/>
    <x v="2"/>
    <n v="4"/>
  </r>
  <r>
    <s v="Call_8156"/>
    <s v="C0010"/>
    <n v="147"/>
    <n v="2.4500000000000002"/>
    <x v="0"/>
    <x v="1"/>
    <d v="2023-10-29T00:00:00"/>
    <n v="68"/>
    <s v="Medium"/>
    <n v="2.1"/>
    <x v="1"/>
    <x v="0"/>
    <x v="1"/>
    <n v="2"/>
  </r>
  <r>
    <s v="Call_8157"/>
    <s v="C0004"/>
    <n v="31"/>
    <n v="0.51666666666666672"/>
    <x v="1"/>
    <x v="4"/>
    <d v="2023-10-30T00:00:00"/>
    <n v="105"/>
    <s v="High"/>
    <n v="3.6"/>
    <x v="1"/>
    <x v="1"/>
    <x v="2"/>
    <n v="4"/>
  </r>
  <r>
    <s v="Call_8158"/>
    <s v="C0001"/>
    <n v="142"/>
    <n v="2.3666666666666667"/>
    <x v="0"/>
    <x v="0"/>
    <d v="2023-10-30T00:00:00"/>
    <n v="40"/>
    <s v="Low"/>
    <n v="3.8"/>
    <x v="1"/>
    <x v="1"/>
    <x v="1"/>
    <n v="4"/>
  </r>
  <r>
    <s v="Call_8159"/>
    <s v="C0009"/>
    <n v="61"/>
    <n v="1.0166666666666666"/>
    <x v="0"/>
    <x v="0"/>
    <d v="2023-10-30T00:00:00"/>
    <n v="82"/>
    <s v="Medium"/>
    <n v="3.1"/>
    <x v="1"/>
    <x v="1"/>
    <x v="0"/>
    <n v="3"/>
  </r>
  <r>
    <s v="Call_8160"/>
    <s v="C0003"/>
    <n v="86"/>
    <n v="1.4333333333333333"/>
    <x v="0"/>
    <x v="4"/>
    <d v="2023-10-31T00:00:00"/>
    <n v="90"/>
    <s v="Medium"/>
    <n v="4.4000000000000004"/>
    <x v="1"/>
    <x v="2"/>
    <x v="0"/>
    <n v="4"/>
  </r>
  <r>
    <s v="Call_8161"/>
    <s v="C0005"/>
    <n v="165"/>
    <n v="2.75"/>
    <x v="0"/>
    <x v="3"/>
    <d v="2023-11-01T00:00:00"/>
    <n v="66"/>
    <s v="Medium"/>
    <n v="4.8"/>
    <x v="1"/>
    <x v="3"/>
    <x v="1"/>
    <n v="5"/>
  </r>
  <r>
    <s v="Call_8162"/>
    <s v="C0008"/>
    <n v="62"/>
    <n v="1.0333333333333334"/>
    <x v="0"/>
    <x v="1"/>
    <d v="2023-11-01T00:00:00"/>
    <n v="78"/>
    <s v="Medium"/>
    <n v="3.5"/>
    <x v="1"/>
    <x v="3"/>
    <x v="0"/>
    <n v="4"/>
  </r>
  <r>
    <s v="Call_8163"/>
    <s v="C0014"/>
    <n v="103"/>
    <n v="1.7166666666666666"/>
    <x v="0"/>
    <x v="3"/>
    <d v="2023-11-02T00:00:00"/>
    <n v="66"/>
    <s v="Medium"/>
    <n v="4.4000000000000004"/>
    <x v="1"/>
    <x v="4"/>
    <x v="0"/>
    <n v="4"/>
  </r>
  <r>
    <s v="Call_8164"/>
    <s v="C0001"/>
    <n v="56"/>
    <n v="0.93333333333333335"/>
    <x v="1"/>
    <x v="4"/>
    <d v="2023-11-03T00:00:00"/>
    <n v="160"/>
    <s v="Very High"/>
    <n v="3.8"/>
    <x v="1"/>
    <x v="5"/>
    <x v="2"/>
    <n v="4"/>
  </r>
  <r>
    <s v="Call_8165"/>
    <s v="C0012"/>
    <n v="114"/>
    <n v="1.9"/>
    <x v="0"/>
    <x v="0"/>
    <d v="2023-11-04T00:00:00"/>
    <n v="144"/>
    <s v="High"/>
    <n v="3.8"/>
    <x v="1"/>
    <x v="6"/>
    <x v="0"/>
    <n v="4"/>
  </r>
  <r>
    <s v="Call_8166"/>
    <s v="C0001"/>
    <n v="112"/>
    <n v="1.8666666666666667"/>
    <x v="0"/>
    <x v="2"/>
    <d v="2023-11-04T00:00:00"/>
    <n v="200"/>
    <s v="Very High"/>
    <n v="4.5999999999999996"/>
    <x v="1"/>
    <x v="6"/>
    <x v="0"/>
    <n v="5"/>
  </r>
  <r>
    <s v="Call_8167"/>
    <s v="C0007"/>
    <n v="52"/>
    <n v="0.8666666666666667"/>
    <x v="1"/>
    <x v="1"/>
    <d v="2023-11-06T00:00:00"/>
    <n v="220"/>
    <s v="Very High"/>
    <n v="5"/>
    <x v="1"/>
    <x v="1"/>
    <x v="2"/>
    <n v="5"/>
  </r>
  <r>
    <s v="Call_8168"/>
    <s v="C0014"/>
    <n v="105"/>
    <n v="1.75"/>
    <x v="0"/>
    <x v="3"/>
    <d v="2023-11-07T00:00:00"/>
    <n v="112"/>
    <s v="High"/>
    <n v="3.2"/>
    <x v="1"/>
    <x v="2"/>
    <x v="0"/>
    <n v="3"/>
  </r>
  <r>
    <s v="Call_8169"/>
    <s v="C0005"/>
    <n v="91"/>
    <n v="1.5166666666666666"/>
    <x v="0"/>
    <x v="4"/>
    <d v="2023-11-07T00:00:00"/>
    <n v="110"/>
    <s v="High"/>
    <n v="3.7"/>
    <x v="1"/>
    <x v="2"/>
    <x v="0"/>
    <n v="4"/>
  </r>
  <r>
    <s v="Call_8170"/>
    <s v="C0015"/>
    <n v="74"/>
    <n v="1.2333333333333334"/>
    <x v="0"/>
    <x v="0"/>
    <d v="2023-11-08T00:00:00"/>
    <n v="160"/>
    <s v="Very High"/>
    <n v="2.7"/>
    <x v="1"/>
    <x v="3"/>
    <x v="0"/>
    <n v="3"/>
  </r>
  <r>
    <s v="Call_8171"/>
    <s v="C0015"/>
    <n v="30"/>
    <n v="0.5"/>
    <x v="2"/>
    <x v="4"/>
    <d v="2023-11-08T00:00:00"/>
    <n v="84"/>
    <s v="Medium"/>
    <n v="4"/>
    <x v="1"/>
    <x v="3"/>
    <x v="3"/>
    <n v="4"/>
  </r>
  <r>
    <s v="Call_8172"/>
    <s v="C0005"/>
    <n v="56"/>
    <n v="0.93333333333333335"/>
    <x v="1"/>
    <x v="1"/>
    <d v="2023-11-08T00:00:00"/>
    <n v="124"/>
    <s v="High"/>
    <n v="2.6"/>
    <x v="1"/>
    <x v="3"/>
    <x v="2"/>
    <n v="3"/>
  </r>
  <r>
    <s v="Call_8173"/>
    <s v="C0015"/>
    <n v="151"/>
    <n v="2.5166666666666666"/>
    <x v="0"/>
    <x v="2"/>
    <d v="2023-11-08T00:00:00"/>
    <n v="84"/>
    <s v="Medium"/>
    <n v="4.5999999999999996"/>
    <x v="1"/>
    <x v="3"/>
    <x v="1"/>
    <n v="5"/>
  </r>
  <r>
    <s v="Call_8174"/>
    <s v="C0004"/>
    <n v="108"/>
    <n v="1.8"/>
    <x v="0"/>
    <x v="3"/>
    <d v="2023-11-09T00:00:00"/>
    <n v="130"/>
    <s v="High"/>
    <n v="2.7"/>
    <x v="1"/>
    <x v="4"/>
    <x v="0"/>
    <n v="3"/>
  </r>
  <r>
    <s v="Call_8175"/>
    <s v="C0012"/>
    <n v="124"/>
    <n v="2.0666666666666669"/>
    <x v="0"/>
    <x v="0"/>
    <d v="2023-11-09T00:00:00"/>
    <n v="215"/>
    <s v="Very High"/>
    <n v="3.5"/>
    <x v="1"/>
    <x v="4"/>
    <x v="1"/>
    <n v="4"/>
  </r>
  <r>
    <s v="Call_8176"/>
    <s v="C0014"/>
    <n v="110"/>
    <n v="1.8333333333333333"/>
    <x v="0"/>
    <x v="1"/>
    <d v="2023-11-10T00:00:00"/>
    <n v="132"/>
    <s v="High"/>
    <n v="3.6"/>
    <x v="1"/>
    <x v="5"/>
    <x v="0"/>
    <n v="4"/>
  </r>
  <r>
    <s v="Call_8177"/>
    <s v="C0010"/>
    <n v="89"/>
    <n v="1.4833333333333334"/>
    <x v="0"/>
    <x v="3"/>
    <d v="2023-11-10T00:00:00"/>
    <n v="88"/>
    <s v="Medium"/>
    <n v="4.9000000000000004"/>
    <x v="1"/>
    <x v="5"/>
    <x v="0"/>
    <n v="5"/>
  </r>
  <r>
    <s v="Call_8178"/>
    <s v="C0003"/>
    <n v="95"/>
    <n v="1.5833333333333333"/>
    <x v="0"/>
    <x v="1"/>
    <d v="2023-11-10T00:00:00"/>
    <n v="140"/>
    <s v="High"/>
    <n v="3.9"/>
    <x v="1"/>
    <x v="5"/>
    <x v="0"/>
    <n v="4"/>
  </r>
  <r>
    <s v="Call_8179"/>
    <s v="C0015"/>
    <n v="84"/>
    <n v="1.4"/>
    <x v="0"/>
    <x v="3"/>
    <d v="2023-11-11T00:00:00"/>
    <n v="66"/>
    <s v="Medium"/>
    <n v="4.7"/>
    <x v="1"/>
    <x v="6"/>
    <x v="0"/>
    <n v="5"/>
  </r>
  <r>
    <s v="Call_8180"/>
    <s v="C0002"/>
    <n v="89"/>
    <n v="1.4833333333333334"/>
    <x v="0"/>
    <x v="0"/>
    <d v="2023-11-11T00:00:00"/>
    <n v="23"/>
    <s v="Low"/>
    <n v="4.5"/>
    <x v="1"/>
    <x v="6"/>
    <x v="0"/>
    <n v="5"/>
  </r>
  <r>
    <s v="Call_8181"/>
    <s v="C0010"/>
    <n v="146"/>
    <n v="2.4333333333333331"/>
    <x v="0"/>
    <x v="0"/>
    <d v="2023-11-12T00:00:00"/>
    <n v="220"/>
    <s v="Very High"/>
    <n v="4.5"/>
    <x v="1"/>
    <x v="0"/>
    <x v="1"/>
    <n v="5"/>
  </r>
  <r>
    <s v="Call_8182"/>
    <s v="C0013"/>
    <n v="62"/>
    <n v="1.0333333333333334"/>
    <x v="0"/>
    <x v="4"/>
    <d v="2023-11-13T00:00:00"/>
    <n v="175"/>
    <s v="Very High"/>
    <n v="4.4000000000000004"/>
    <x v="1"/>
    <x v="1"/>
    <x v="0"/>
    <n v="4"/>
  </r>
  <r>
    <s v="Call_8183"/>
    <s v="C0001"/>
    <n v="82"/>
    <n v="1.3666666666666667"/>
    <x v="0"/>
    <x v="0"/>
    <d v="2023-11-13T00:00:00"/>
    <n v="172"/>
    <s v="Very High"/>
    <n v="4.0999999999999996"/>
    <x v="1"/>
    <x v="1"/>
    <x v="0"/>
    <n v="4"/>
  </r>
  <r>
    <s v="Call_8184"/>
    <s v="C0009"/>
    <n v="91"/>
    <n v="1.5166666666666666"/>
    <x v="0"/>
    <x v="2"/>
    <d v="2023-11-13T00:00:00"/>
    <n v="108"/>
    <s v="High"/>
    <n v="3.8"/>
    <x v="1"/>
    <x v="1"/>
    <x v="0"/>
    <n v="4"/>
  </r>
  <r>
    <s v="Call_8185"/>
    <s v="C0002"/>
    <n v="39"/>
    <n v="0.65"/>
    <x v="1"/>
    <x v="0"/>
    <d v="2023-11-14T00:00:00"/>
    <n v="43"/>
    <s v="Low"/>
    <n v="4.2"/>
    <x v="1"/>
    <x v="2"/>
    <x v="2"/>
    <n v="4"/>
  </r>
  <r>
    <s v="Call_8186"/>
    <s v="C0010"/>
    <n v="149"/>
    <n v="2.4833333333333334"/>
    <x v="0"/>
    <x v="1"/>
    <d v="2023-11-14T00:00:00"/>
    <n v="44"/>
    <s v="Low"/>
    <n v="2.2000000000000002"/>
    <x v="1"/>
    <x v="2"/>
    <x v="1"/>
    <n v="2"/>
  </r>
  <r>
    <s v="Call_8187"/>
    <s v="C0001"/>
    <n v="138"/>
    <n v="2.2999999999999998"/>
    <x v="0"/>
    <x v="4"/>
    <d v="2023-11-14T00:00:00"/>
    <n v="105"/>
    <s v="High"/>
    <n v="3.9"/>
    <x v="1"/>
    <x v="2"/>
    <x v="1"/>
    <n v="4"/>
  </r>
  <r>
    <s v="Call_8188"/>
    <s v="C0013"/>
    <n v="113"/>
    <n v="1.8833333333333333"/>
    <x v="0"/>
    <x v="1"/>
    <d v="2023-11-15T00:00:00"/>
    <n v="34"/>
    <s v="Low"/>
    <n v="3.9"/>
    <x v="1"/>
    <x v="3"/>
    <x v="0"/>
    <n v="4"/>
  </r>
  <r>
    <s v="Call_8189"/>
    <s v="C0011"/>
    <n v="88"/>
    <n v="1.4666666666666666"/>
    <x v="0"/>
    <x v="0"/>
    <d v="2023-11-15T00:00:00"/>
    <n v="220"/>
    <s v="Very High"/>
    <n v="4.0999999999999996"/>
    <x v="1"/>
    <x v="3"/>
    <x v="0"/>
    <n v="4"/>
  </r>
  <r>
    <s v="Call_8190"/>
    <s v="C0003"/>
    <n v="64"/>
    <n v="1.0666666666666667"/>
    <x v="0"/>
    <x v="4"/>
    <d v="2023-11-15T00:00:00"/>
    <n v="225"/>
    <s v="Very High"/>
    <n v="4.5999999999999996"/>
    <x v="1"/>
    <x v="3"/>
    <x v="0"/>
    <n v="5"/>
  </r>
  <r>
    <s v="Call_8191"/>
    <s v="C0005"/>
    <n v="53"/>
    <n v="0.8833333333333333"/>
    <x v="1"/>
    <x v="4"/>
    <d v="2023-11-16T00:00:00"/>
    <n v="37"/>
    <s v="Low"/>
    <n v="4.0999999999999996"/>
    <x v="1"/>
    <x v="4"/>
    <x v="2"/>
    <n v="4"/>
  </r>
  <r>
    <s v="Call_8192"/>
    <s v="C0012"/>
    <n v="63"/>
    <n v="1.05"/>
    <x v="0"/>
    <x v="1"/>
    <d v="2023-11-16T00:00:00"/>
    <n v="44"/>
    <s v="Low"/>
    <n v="5"/>
    <x v="1"/>
    <x v="4"/>
    <x v="0"/>
    <n v="5"/>
  </r>
  <r>
    <s v="Call_8193"/>
    <s v="C0007"/>
    <n v="54"/>
    <n v="0.9"/>
    <x v="1"/>
    <x v="1"/>
    <d v="2023-11-17T00:00:00"/>
    <n v="35"/>
    <s v="Low"/>
    <n v="2.8"/>
    <x v="1"/>
    <x v="5"/>
    <x v="2"/>
    <n v="3"/>
  </r>
  <r>
    <s v="Call_8194"/>
    <s v="C0012"/>
    <n v="54"/>
    <n v="0.9"/>
    <x v="1"/>
    <x v="0"/>
    <d v="2023-11-17T00:00:00"/>
    <n v="145"/>
    <s v="High"/>
    <n v="2.7"/>
    <x v="1"/>
    <x v="5"/>
    <x v="2"/>
    <n v="3"/>
  </r>
  <r>
    <s v="Call_8195"/>
    <s v="C0010"/>
    <n v="71"/>
    <n v="1.1833333333333333"/>
    <x v="0"/>
    <x v="4"/>
    <d v="2023-11-17T00:00:00"/>
    <n v="64"/>
    <s v="Medium"/>
    <n v="3.9"/>
    <x v="1"/>
    <x v="5"/>
    <x v="0"/>
    <n v="4"/>
  </r>
  <r>
    <s v="Call_8196"/>
    <s v="C0012"/>
    <n v="93"/>
    <n v="1.55"/>
    <x v="0"/>
    <x v="0"/>
    <d v="2023-11-18T00:00:00"/>
    <n v="185"/>
    <s v="Very High"/>
    <n v="4.3"/>
    <x v="1"/>
    <x v="6"/>
    <x v="0"/>
    <n v="4"/>
  </r>
  <r>
    <s v="Call_8197"/>
    <s v="C0014"/>
    <n v="96"/>
    <n v="1.6"/>
    <x v="0"/>
    <x v="1"/>
    <d v="2023-11-18T00:00:00"/>
    <n v="215"/>
    <s v="Very High"/>
    <n v="2.5"/>
    <x v="1"/>
    <x v="6"/>
    <x v="0"/>
    <n v="3"/>
  </r>
  <r>
    <s v="Call_8198"/>
    <s v="C0002"/>
    <n v="31"/>
    <n v="0.51666666666666672"/>
    <x v="1"/>
    <x v="2"/>
    <d v="2023-11-18T00:00:00"/>
    <n v="88"/>
    <s v="Medium"/>
    <n v="3.4"/>
    <x v="1"/>
    <x v="6"/>
    <x v="2"/>
    <n v="3"/>
  </r>
  <r>
    <s v="Call_8199"/>
    <s v="C0012"/>
    <n v="107"/>
    <n v="1.7833333333333334"/>
    <x v="0"/>
    <x v="4"/>
    <d v="2023-11-18T00:00:00"/>
    <n v="23"/>
    <s v="Low"/>
    <n v="3.4"/>
    <x v="1"/>
    <x v="6"/>
    <x v="0"/>
    <n v="3"/>
  </r>
  <r>
    <s v="Call_8200"/>
    <s v="C0005"/>
    <n v="50"/>
    <n v="0.83333333333333337"/>
    <x v="1"/>
    <x v="2"/>
    <d v="2023-11-19T00:00:00"/>
    <n v="180"/>
    <s v="Very High"/>
    <n v="1.8"/>
    <x v="1"/>
    <x v="0"/>
    <x v="2"/>
    <n v="2"/>
  </r>
  <r>
    <s v="Call_8201"/>
    <s v="C0001"/>
    <n v="69"/>
    <n v="1.1499999999999999"/>
    <x v="0"/>
    <x v="4"/>
    <d v="2023-11-20T00:00:00"/>
    <n v="225"/>
    <s v="Very High"/>
    <n v="3.7"/>
    <x v="1"/>
    <x v="1"/>
    <x v="0"/>
    <n v="4"/>
  </r>
  <r>
    <s v="Call_8202"/>
    <s v="C0011"/>
    <n v="26"/>
    <n v="0.43333333333333335"/>
    <x v="2"/>
    <x v="1"/>
    <d v="2023-11-21T00:00:00"/>
    <n v="74"/>
    <s v="Medium"/>
    <n v="4.0999999999999996"/>
    <x v="1"/>
    <x v="2"/>
    <x v="3"/>
    <n v="4"/>
  </r>
  <r>
    <s v="Call_8203"/>
    <s v="C0014"/>
    <n v="158"/>
    <n v="2.6333333333333333"/>
    <x v="0"/>
    <x v="4"/>
    <d v="2023-11-21T00:00:00"/>
    <n v="36"/>
    <s v="Low"/>
    <n v="3"/>
    <x v="1"/>
    <x v="2"/>
    <x v="1"/>
    <n v="3"/>
  </r>
  <r>
    <s v="Call_8204"/>
    <s v="C0007"/>
    <n v="99"/>
    <n v="1.65"/>
    <x v="0"/>
    <x v="4"/>
    <d v="2023-11-23T00:00:00"/>
    <n v="116"/>
    <s v="High"/>
    <n v="3.9"/>
    <x v="1"/>
    <x v="4"/>
    <x v="0"/>
    <n v="4"/>
  </r>
  <r>
    <s v="Call_8205"/>
    <s v="C0014"/>
    <n v="78"/>
    <n v="1.3"/>
    <x v="0"/>
    <x v="2"/>
    <d v="2023-11-23T00:00:00"/>
    <n v="140"/>
    <s v="High"/>
    <n v="4"/>
    <x v="1"/>
    <x v="4"/>
    <x v="0"/>
    <n v="4"/>
  </r>
  <r>
    <s v="Call_8206"/>
    <s v="C0014"/>
    <n v="102"/>
    <n v="1.7"/>
    <x v="0"/>
    <x v="1"/>
    <d v="2023-11-24T00:00:00"/>
    <n v="104"/>
    <s v="High"/>
    <n v="4.5"/>
    <x v="1"/>
    <x v="5"/>
    <x v="0"/>
    <n v="5"/>
  </r>
  <r>
    <s v="Call_8207"/>
    <s v="C0007"/>
    <n v="158"/>
    <n v="2.6333333333333333"/>
    <x v="0"/>
    <x v="3"/>
    <d v="2023-11-24T00:00:00"/>
    <n v="148"/>
    <s v="High"/>
    <n v="4"/>
    <x v="1"/>
    <x v="5"/>
    <x v="1"/>
    <n v="4"/>
  </r>
  <r>
    <s v="Call_8208"/>
    <s v="C0002"/>
    <n v="56"/>
    <n v="0.93333333333333335"/>
    <x v="1"/>
    <x v="4"/>
    <d v="2023-11-24T00:00:00"/>
    <n v="205"/>
    <s v="Very High"/>
    <n v="4.3"/>
    <x v="1"/>
    <x v="5"/>
    <x v="2"/>
    <n v="4"/>
  </r>
  <r>
    <s v="Call_8209"/>
    <s v="C0004"/>
    <n v="17"/>
    <n v="0.28333333333333333"/>
    <x v="2"/>
    <x v="0"/>
    <d v="2023-11-24T00:00:00"/>
    <n v="210"/>
    <s v="Very High"/>
    <n v="4.8"/>
    <x v="1"/>
    <x v="5"/>
    <x v="3"/>
    <n v="5"/>
  </r>
  <r>
    <s v="Call_8210"/>
    <s v="C0011"/>
    <n v="104"/>
    <n v="1.7333333333333334"/>
    <x v="0"/>
    <x v="3"/>
    <d v="2023-11-26T00:00:00"/>
    <n v="41"/>
    <s v="Low"/>
    <n v="4.7"/>
    <x v="1"/>
    <x v="0"/>
    <x v="0"/>
    <n v="5"/>
  </r>
  <r>
    <s v="Call_8211"/>
    <s v="C0015"/>
    <n v="96"/>
    <n v="1.6"/>
    <x v="0"/>
    <x v="2"/>
    <d v="2023-11-26T00:00:00"/>
    <n v="136"/>
    <s v="High"/>
    <n v="5"/>
    <x v="1"/>
    <x v="0"/>
    <x v="0"/>
    <n v="5"/>
  </r>
  <r>
    <s v="Call_8212"/>
    <s v="C0009"/>
    <n v="83"/>
    <n v="1.3833333333333333"/>
    <x v="0"/>
    <x v="1"/>
    <d v="2023-11-27T00:00:00"/>
    <n v="126"/>
    <s v="High"/>
    <n v="1.5"/>
    <x v="1"/>
    <x v="1"/>
    <x v="0"/>
    <n v="2"/>
  </r>
  <r>
    <s v="Call_8213"/>
    <s v="C0005"/>
    <n v="80"/>
    <n v="1.3333333333333333"/>
    <x v="0"/>
    <x v="0"/>
    <d v="2023-11-28T00:00:00"/>
    <n v="148"/>
    <s v="High"/>
    <n v="4.0999999999999996"/>
    <x v="1"/>
    <x v="2"/>
    <x v="0"/>
    <n v="4"/>
  </r>
  <r>
    <s v="Call_8214"/>
    <s v="C0009"/>
    <n v="152"/>
    <n v="2.5333333333333332"/>
    <x v="0"/>
    <x v="1"/>
    <d v="2023-11-28T00:00:00"/>
    <n v="125"/>
    <s v="High"/>
    <n v="3.9"/>
    <x v="1"/>
    <x v="2"/>
    <x v="1"/>
    <n v="4"/>
  </r>
  <r>
    <s v="Call_8215"/>
    <s v="C0010"/>
    <n v="34"/>
    <n v="0.56666666666666665"/>
    <x v="1"/>
    <x v="2"/>
    <d v="2023-11-28T00:00:00"/>
    <n v="25"/>
    <s v="Low"/>
    <n v="4.0999999999999996"/>
    <x v="1"/>
    <x v="2"/>
    <x v="2"/>
    <n v="4"/>
  </r>
  <r>
    <s v="Call_8216"/>
    <s v="C0013"/>
    <n v="2"/>
    <n v="3.3333333333333333E-2"/>
    <x v="3"/>
    <x v="4"/>
    <d v="2023-11-29T00:00:00"/>
    <n v="62"/>
    <s v="Medium"/>
    <n v="2.8"/>
    <x v="1"/>
    <x v="3"/>
    <x v="4"/>
    <n v="3"/>
  </r>
  <r>
    <s v="Call_8217"/>
    <s v="C0005"/>
    <n v="140"/>
    <n v="2.3333333333333335"/>
    <x v="0"/>
    <x v="2"/>
    <d v="2023-11-30T00:00:00"/>
    <n v="90"/>
    <s v="Medium"/>
    <n v="4.5999999999999996"/>
    <x v="1"/>
    <x v="4"/>
    <x v="1"/>
    <n v="5"/>
  </r>
  <r>
    <s v="Call_8218"/>
    <s v="C0004"/>
    <n v="126"/>
    <n v="2.1"/>
    <x v="0"/>
    <x v="3"/>
    <d v="2023-12-01T00:00:00"/>
    <n v="33"/>
    <s v="Low"/>
    <n v="4.8"/>
    <x v="1"/>
    <x v="5"/>
    <x v="1"/>
    <n v="5"/>
  </r>
  <r>
    <s v="Call_8219"/>
    <s v="C0014"/>
    <n v="79"/>
    <n v="1.3166666666666667"/>
    <x v="0"/>
    <x v="4"/>
    <d v="2023-12-01T00:00:00"/>
    <n v="115"/>
    <s v="High"/>
    <n v="2.2999999999999998"/>
    <x v="1"/>
    <x v="5"/>
    <x v="0"/>
    <n v="2"/>
  </r>
  <r>
    <s v="Call_8220"/>
    <s v="C0004"/>
    <n v="133"/>
    <n v="2.2166666666666668"/>
    <x v="0"/>
    <x v="3"/>
    <d v="2023-12-01T00:00:00"/>
    <n v="45"/>
    <s v="Low"/>
    <n v="2.6"/>
    <x v="1"/>
    <x v="5"/>
    <x v="1"/>
    <n v="3"/>
  </r>
  <r>
    <s v="Call_8221"/>
    <s v="C0010"/>
    <n v="97"/>
    <n v="1.6166666666666667"/>
    <x v="0"/>
    <x v="0"/>
    <d v="2023-12-01T00:00:00"/>
    <n v="114"/>
    <s v="High"/>
    <n v="4.8"/>
    <x v="1"/>
    <x v="5"/>
    <x v="0"/>
    <n v="5"/>
  </r>
  <r>
    <s v="Call_8222"/>
    <s v="C0014"/>
    <n v="102"/>
    <n v="1.7"/>
    <x v="0"/>
    <x v="1"/>
    <d v="2023-12-02T00:00:00"/>
    <n v="72"/>
    <s v="Medium"/>
    <n v="3.7"/>
    <x v="1"/>
    <x v="6"/>
    <x v="0"/>
    <n v="4"/>
  </r>
  <r>
    <s v="Call_8223"/>
    <s v="C0006"/>
    <n v="62"/>
    <n v="1.0333333333333334"/>
    <x v="0"/>
    <x v="0"/>
    <d v="2023-12-02T00:00:00"/>
    <n v="205"/>
    <s v="Very High"/>
    <n v="4.2"/>
    <x v="1"/>
    <x v="6"/>
    <x v="0"/>
    <n v="4"/>
  </r>
  <r>
    <s v="Call_8224"/>
    <s v="C0004"/>
    <n v="149"/>
    <n v="2.4833333333333334"/>
    <x v="0"/>
    <x v="1"/>
    <d v="2023-12-03T00:00:00"/>
    <n v="42"/>
    <s v="Low"/>
    <n v="3.3"/>
    <x v="1"/>
    <x v="0"/>
    <x v="1"/>
    <n v="3"/>
  </r>
  <r>
    <s v="Call_8225"/>
    <s v="C0013"/>
    <n v="133"/>
    <n v="2.2166666666666668"/>
    <x v="0"/>
    <x v="0"/>
    <d v="2023-12-03T00:00:00"/>
    <n v="96"/>
    <s v="Medium"/>
    <n v="4.3"/>
    <x v="1"/>
    <x v="0"/>
    <x v="1"/>
    <n v="4"/>
  </r>
  <r>
    <s v="Call_8226"/>
    <s v="C0014"/>
    <n v="51"/>
    <n v="0.85"/>
    <x v="1"/>
    <x v="4"/>
    <d v="2023-12-03T00:00:00"/>
    <n v="64"/>
    <s v="Medium"/>
    <n v="3.7"/>
    <x v="1"/>
    <x v="0"/>
    <x v="2"/>
    <n v="4"/>
  </r>
  <r>
    <s v="Call_8227"/>
    <s v="C0006"/>
    <n v="110"/>
    <n v="1.8333333333333333"/>
    <x v="0"/>
    <x v="0"/>
    <d v="2023-12-04T00:00:00"/>
    <n v="72"/>
    <s v="Medium"/>
    <n v="3.7"/>
    <x v="1"/>
    <x v="1"/>
    <x v="0"/>
    <n v="4"/>
  </r>
  <r>
    <s v="Call_8228"/>
    <s v="C0010"/>
    <n v="38"/>
    <n v="0.6333333333333333"/>
    <x v="1"/>
    <x v="3"/>
    <d v="2023-12-05T00:00:00"/>
    <n v="27"/>
    <s v="Low"/>
    <n v="3.1"/>
    <x v="1"/>
    <x v="2"/>
    <x v="2"/>
    <n v="3"/>
  </r>
  <r>
    <s v="Call_8229"/>
    <s v="C0013"/>
    <n v="78"/>
    <n v="1.3"/>
    <x v="0"/>
    <x v="3"/>
    <d v="2023-12-07T00:00:00"/>
    <n v="200"/>
    <s v="Very High"/>
    <n v="2.4"/>
    <x v="1"/>
    <x v="4"/>
    <x v="0"/>
    <n v="2"/>
  </r>
  <r>
    <s v="Call_8230"/>
    <s v="C0010"/>
    <n v="25"/>
    <n v="0.41666666666666669"/>
    <x v="2"/>
    <x v="1"/>
    <d v="2023-12-08T00:00:00"/>
    <n v="93"/>
    <s v="Medium"/>
    <n v="3.5"/>
    <x v="1"/>
    <x v="5"/>
    <x v="3"/>
    <n v="4"/>
  </r>
  <r>
    <s v="Call_8231"/>
    <s v="C0012"/>
    <n v="50"/>
    <n v="0.83333333333333337"/>
    <x v="1"/>
    <x v="4"/>
    <d v="2023-12-08T00:00:00"/>
    <n v="54"/>
    <s v="Medium"/>
    <n v="4.3"/>
    <x v="1"/>
    <x v="5"/>
    <x v="2"/>
    <n v="4"/>
  </r>
  <r>
    <s v="Call_8232"/>
    <s v="C0010"/>
    <n v="103"/>
    <n v="1.7166666666666666"/>
    <x v="0"/>
    <x v="1"/>
    <d v="2023-12-09T00:00:00"/>
    <n v="72"/>
    <s v="Medium"/>
    <n v="3.4"/>
    <x v="1"/>
    <x v="6"/>
    <x v="0"/>
    <n v="3"/>
  </r>
  <r>
    <s v="Call_8233"/>
    <s v="C0009"/>
    <n v="63"/>
    <n v="1.05"/>
    <x v="0"/>
    <x v="2"/>
    <d v="2023-12-09T00:00:00"/>
    <n v="82"/>
    <s v="Medium"/>
    <n v="3.7"/>
    <x v="1"/>
    <x v="6"/>
    <x v="0"/>
    <n v="4"/>
  </r>
  <r>
    <s v="Call_8234"/>
    <s v="C0012"/>
    <n v="96"/>
    <n v="1.6"/>
    <x v="0"/>
    <x v="4"/>
    <d v="2023-12-13T00:00:00"/>
    <n v="164"/>
    <s v="Very High"/>
    <n v="4.8"/>
    <x v="1"/>
    <x v="3"/>
    <x v="0"/>
    <n v="5"/>
  </r>
  <r>
    <s v="Call_8235"/>
    <s v="C0005"/>
    <n v="94"/>
    <n v="1.5666666666666667"/>
    <x v="0"/>
    <x v="1"/>
    <d v="2023-12-13T00:00:00"/>
    <n v="78"/>
    <s v="Medium"/>
    <n v="3.3"/>
    <x v="1"/>
    <x v="3"/>
    <x v="0"/>
    <n v="3"/>
  </r>
  <r>
    <s v="Call_8236"/>
    <s v="C0006"/>
    <n v="46"/>
    <n v="0.76666666666666672"/>
    <x v="1"/>
    <x v="3"/>
    <d v="2023-12-14T00:00:00"/>
    <n v="135"/>
    <s v="High"/>
    <n v="4.2"/>
    <x v="1"/>
    <x v="4"/>
    <x v="2"/>
    <n v="4"/>
  </r>
  <r>
    <s v="Call_8237"/>
    <s v="C0008"/>
    <n v="127"/>
    <n v="2.1166666666666667"/>
    <x v="0"/>
    <x v="4"/>
    <d v="2023-12-15T00:00:00"/>
    <n v="145"/>
    <s v="High"/>
    <n v="2.6"/>
    <x v="1"/>
    <x v="5"/>
    <x v="1"/>
    <n v="3"/>
  </r>
  <r>
    <s v="Call_8238"/>
    <s v="C0007"/>
    <n v="96"/>
    <n v="1.6"/>
    <x v="0"/>
    <x v="3"/>
    <d v="2023-12-15T00:00:00"/>
    <n v="115"/>
    <s v="High"/>
    <n v="4.9000000000000004"/>
    <x v="1"/>
    <x v="5"/>
    <x v="0"/>
    <n v="5"/>
  </r>
  <r>
    <s v="Call_8239"/>
    <s v="C0001"/>
    <n v="151"/>
    <n v="2.5166666666666666"/>
    <x v="0"/>
    <x v="1"/>
    <d v="2023-12-15T00:00:00"/>
    <n v="117"/>
    <s v="High"/>
    <n v="2"/>
    <x v="1"/>
    <x v="5"/>
    <x v="1"/>
    <n v="2"/>
  </r>
  <r>
    <s v="Call_8240"/>
    <s v="C0008"/>
    <n v="158"/>
    <n v="2.6333333333333333"/>
    <x v="0"/>
    <x v="0"/>
    <d v="2023-12-16T00:00:00"/>
    <n v="36"/>
    <s v="Low"/>
    <n v="4.7"/>
    <x v="1"/>
    <x v="6"/>
    <x v="1"/>
    <n v="5"/>
  </r>
  <r>
    <s v="Call_8241"/>
    <s v="C0005"/>
    <n v="45"/>
    <n v="0.75"/>
    <x v="1"/>
    <x v="0"/>
    <d v="2023-12-16T00:00:00"/>
    <n v="84"/>
    <s v="Medium"/>
    <n v="2.8"/>
    <x v="1"/>
    <x v="6"/>
    <x v="2"/>
    <n v="3"/>
  </r>
  <r>
    <s v="Call_8242"/>
    <s v="C0002"/>
    <n v="141"/>
    <n v="2.35"/>
    <x v="0"/>
    <x v="0"/>
    <d v="2023-12-16T00:00:00"/>
    <n v="66"/>
    <s v="Medium"/>
    <n v="3.2"/>
    <x v="1"/>
    <x v="6"/>
    <x v="1"/>
    <n v="3"/>
  </r>
  <r>
    <s v="Call_8243"/>
    <s v="C0010"/>
    <n v="147"/>
    <n v="2.4500000000000002"/>
    <x v="0"/>
    <x v="3"/>
    <d v="2023-12-16T00:00:00"/>
    <n v="76"/>
    <s v="Medium"/>
    <n v="4.7"/>
    <x v="1"/>
    <x v="6"/>
    <x v="1"/>
    <n v="5"/>
  </r>
  <r>
    <s v="Call_8244"/>
    <s v="C0015"/>
    <n v="126"/>
    <n v="2.1"/>
    <x v="0"/>
    <x v="3"/>
    <d v="2023-12-16T00:00:00"/>
    <n v="185"/>
    <s v="Very High"/>
    <n v="4.8"/>
    <x v="1"/>
    <x v="6"/>
    <x v="1"/>
    <n v="5"/>
  </r>
  <r>
    <s v="Call_8245"/>
    <s v="C0005"/>
    <n v="126"/>
    <n v="2.1"/>
    <x v="0"/>
    <x v="2"/>
    <d v="2023-12-17T00:00:00"/>
    <n v="80"/>
    <s v="Medium"/>
    <n v="4.7"/>
    <x v="1"/>
    <x v="0"/>
    <x v="1"/>
    <n v="5"/>
  </r>
  <r>
    <s v="Call_8246"/>
    <s v="C0013"/>
    <n v="32"/>
    <n v="0.53333333333333333"/>
    <x v="1"/>
    <x v="3"/>
    <d v="2023-12-17T00:00:00"/>
    <n v="148"/>
    <s v="High"/>
    <n v="4"/>
    <x v="1"/>
    <x v="0"/>
    <x v="2"/>
    <n v="4"/>
  </r>
  <r>
    <s v="Call_8247"/>
    <s v="C0005"/>
    <n v="84"/>
    <n v="1.4"/>
    <x v="0"/>
    <x v="4"/>
    <d v="2023-12-19T00:00:00"/>
    <n v="180"/>
    <s v="Very High"/>
    <n v="4.9000000000000004"/>
    <x v="1"/>
    <x v="2"/>
    <x v="0"/>
    <n v="5"/>
  </r>
  <r>
    <s v="Call_8248"/>
    <s v="C0009"/>
    <n v="120"/>
    <n v="2"/>
    <x v="0"/>
    <x v="2"/>
    <d v="2023-12-20T00:00:00"/>
    <n v="190"/>
    <s v="Very High"/>
    <n v="3.7"/>
    <x v="1"/>
    <x v="3"/>
    <x v="0"/>
    <n v="4"/>
  </r>
  <r>
    <s v="Call_8249"/>
    <s v="C0011"/>
    <n v="93"/>
    <n v="1.55"/>
    <x v="0"/>
    <x v="3"/>
    <d v="2023-12-20T00:00:00"/>
    <n v="38"/>
    <s v="Low"/>
    <n v="4.5"/>
    <x v="1"/>
    <x v="3"/>
    <x v="0"/>
    <n v="5"/>
  </r>
  <r>
    <s v="Call_8250"/>
    <s v="C0007"/>
    <n v="76"/>
    <n v="1.2666666666666666"/>
    <x v="0"/>
    <x v="1"/>
    <d v="2023-12-21T00:00:00"/>
    <n v="82"/>
    <s v="Medium"/>
    <n v="2.1"/>
    <x v="1"/>
    <x v="4"/>
    <x v="0"/>
    <n v="2"/>
  </r>
  <r>
    <s v="Call_8251"/>
    <s v="C0008"/>
    <n v="89"/>
    <n v="1.4833333333333334"/>
    <x v="0"/>
    <x v="3"/>
    <d v="2023-12-24T00:00:00"/>
    <n v="88"/>
    <s v="Medium"/>
    <n v="2.8"/>
    <x v="1"/>
    <x v="0"/>
    <x v="0"/>
    <n v="3"/>
  </r>
  <r>
    <s v="Call_8252"/>
    <s v="C0014"/>
    <n v="91"/>
    <n v="1.5166666666666666"/>
    <x v="0"/>
    <x v="4"/>
    <d v="2023-12-24T00:00:00"/>
    <n v="42"/>
    <s v="Low"/>
    <n v="4.0999999999999996"/>
    <x v="1"/>
    <x v="0"/>
    <x v="0"/>
    <n v="4"/>
  </r>
  <r>
    <s v="Call_8253"/>
    <s v="C0006"/>
    <n v="7"/>
    <n v="0.11666666666666667"/>
    <x v="3"/>
    <x v="0"/>
    <d v="2023-12-25T00:00:00"/>
    <n v="64"/>
    <s v="Medium"/>
    <n v="3.3"/>
    <x v="1"/>
    <x v="1"/>
    <x v="4"/>
    <n v="3"/>
  </r>
  <r>
    <s v="Call_8254"/>
    <s v="C0013"/>
    <n v="140"/>
    <n v="2.3333333333333335"/>
    <x v="0"/>
    <x v="0"/>
    <d v="2023-12-25T00:00:00"/>
    <n v="105"/>
    <s v="High"/>
    <n v="1.7"/>
    <x v="1"/>
    <x v="1"/>
    <x v="1"/>
    <n v="2"/>
  </r>
  <r>
    <s v="Call_8255"/>
    <s v="C0004"/>
    <n v="58"/>
    <n v="0.96666666666666667"/>
    <x v="1"/>
    <x v="2"/>
    <d v="2023-12-25T00:00:00"/>
    <n v="25"/>
    <s v="Low"/>
    <n v="3.6"/>
    <x v="1"/>
    <x v="1"/>
    <x v="2"/>
    <n v="4"/>
  </r>
  <r>
    <s v="Call_8256"/>
    <s v="C0003"/>
    <n v="90"/>
    <n v="1.5"/>
    <x v="0"/>
    <x v="1"/>
    <d v="2023-12-26T00:00:00"/>
    <n v="176"/>
    <s v="Very High"/>
    <n v="3.6"/>
    <x v="1"/>
    <x v="2"/>
    <x v="0"/>
    <n v="4"/>
  </r>
  <r>
    <s v="Call_8257"/>
    <s v="C0003"/>
    <n v="106"/>
    <n v="1.7666666666666666"/>
    <x v="0"/>
    <x v="3"/>
    <d v="2023-12-27T00:00:00"/>
    <n v="46"/>
    <s v="Low"/>
    <n v="4.5999999999999996"/>
    <x v="1"/>
    <x v="3"/>
    <x v="0"/>
    <n v="5"/>
  </r>
  <r>
    <s v="Call_8258"/>
    <s v="C0009"/>
    <n v="72"/>
    <n v="1.2"/>
    <x v="0"/>
    <x v="0"/>
    <d v="2023-12-27T00:00:00"/>
    <n v="164"/>
    <s v="Very High"/>
    <n v="4.8"/>
    <x v="1"/>
    <x v="3"/>
    <x v="0"/>
    <n v="5"/>
  </r>
  <r>
    <s v="Call_8259"/>
    <s v="C0006"/>
    <n v="124"/>
    <n v="2.0666666666666669"/>
    <x v="0"/>
    <x v="0"/>
    <d v="2023-12-28T00:00:00"/>
    <n v="64"/>
    <s v="Medium"/>
    <n v="4.5"/>
    <x v="1"/>
    <x v="4"/>
    <x v="1"/>
    <n v="5"/>
  </r>
  <r>
    <s v="Call_8260"/>
    <s v="C0002"/>
    <n v="86"/>
    <n v="1.4333333333333333"/>
    <x v="0"/>
    <x v="4"/>
    <d v="2023-12-28T00:00:00"/>
    <n v="205"/>
    <s v="Very High"/>
    <n v="4.5"/>
    <x v="1"/>
    <x v="4"/>
    <x v="0"/>
    <n v="5"/>
  </r>
  <r>
    <s v="Call_8261"/>
    <s v="C0005"/>
    <n v="164"/>
    <n v="2.7333333333333334"/>
    <x v="0"/>
    <x v="4"/>
    <d v="2023-12-29T00:00:00"/>
    <n v="100"/>
    <s v="Medium"/>
    <n v="4.5999999999999996"/>
    <x v="1"/>
    <x v="5"/>
    <x v="1"/>
    <n v="5"/>
  </r>
  <r>
    <s v="Call_8262"/>
    <s v="C0011"/>
    <n v="40"/>
    <n v="0.66666666666666663"/>
    <x v="1"/>
    <x v="1"/>
    <d v="2023-12-29T00:00:00"/>
    <n v="111"/>
    <s v="High"/>
    <n v="4.5999999999999996"/>
    <x v="1"/>
    <x v="5"/>
    <x v="2"/>
    <n v="5"/>
  </r>
  <r>
    <s v="Call_8263"/>
    <s v="C0014"/>
    <n v="76"/>
    <n v="1.2666666666666666"/>
    <x v="0"/>
    <x v="2"/>
    <d v="2023-12-29T00:00:00"/>
    <n v="80"/>
    <s v="Medium"/>
    <n v="3.5"/>
    <x v="1"/>
    <x v="5"/>
    <x v="0"/>
    <n v="4"/>
  </r>
  <r>
    <s v="Call_8264"/>
    <s v="C0006"/>
    <n v="95"/>
    <n v="1.5833333333333333"/>
    <x v="0"/>
    <x v="3"/>
    <d v="2023-12-29T00:00:00"/>
    <n v="50"/>
    <s v="Low"/>
    <n v="2.9"/>
    <x v="1"/>
    <x v="5"/>
    <x v="0"/>
    <n v="3"/>
  </r>
  <r>
    <s v="Call_8265"/>
    <s v="C0014"/>
    <n v="113"/>
    <n v="1.8833333333333333"/>
    <x v="0"/>
    <x v="0"/>
    <d v="2023-12-30T00:00:00"/>
    <n v="165"/>
    <s v="Very High"/>
    <n v="4.7"/>
    <x v="1"/>
    <x v="6"/>
    <x v="0"/>
    <n v="5"/>
  </r>
  <r>
    <s v="Call_8266"/>
    <s v="C0002"/>
    <n v="81"/>
    <n v="1.35"/>
    <x v="0"/>
    <x v="0"/>
    <d v="2023-12-30T00:00:00"/>
    <n v="28"/>
    <s v="Low"/>
    <n v="3.9"/>
    <x v="1"/>
    <x v="6"/>
    <x v="0"/>
    <n v="4"/>
  </r>
  <r>
    <s v="Call_8267"/>
    <s v="C0007"/>
    <n v="127"/>
    <n v="2.1166666666666667"/>
    <x v="0"/>
    <x v="3"/>
    <d v="2023-12-30T00:00:00"/>
    <n v="215"/>
    <s v="Very High"/>
    <n v="3.8"/>
    <x v="1"/>
    <x v="6"/>
    <x v="1"/>
    <n v="4"/>
  </r>
  <r>
    <s v="Call_8268"/>
    <s v="C0013"/>
    <n v="146"/>
    <n v="2.4333333333333331"/>
    <x v="0"/>
    <x v="0"/>
    <d v="2023-12-31T00:00:00"/>
    <n v="115"/>
    <s v="High"/>
    <n v="2.2999999999999998"/>
    <x v="1"/>
    <x v="0"/>
    <x v="1"/>
    <n v="2"/>
  </r>
  <r>
    <s v="Call_8269"/>
    <s v="C0010"/>
    <n v="123"/>
    <n v="2.0499999999999998"/>
    <x v="0"/>
    <x v="0"/>
    <d v="2023-12-31T00:00:00"/>
    <n v="64"/>
    <s v="Medium"/>
    <n v="3.7"/>
    <x v="1"/>
    <x v="0"/>
    <x v="1"/>
    <n v="4"/>
  </r>
  <r>
    <s v="Call_8270"/>
    <s v="C0009"/>
    <n v="114"/>
    <n v="1.9"/>
    <x v="0"/>
    <x v="2"/>
    <d v="2023-12-31T00:00:00"/>
    <n v="40"/>
    <s v="Low"/>
    <n v="3.9"/>
    <x v="1"/>
    <x v="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FEB42-12D3-4B3A-B92E-0CF33C368196}"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1:B6" firstHeaderRow="1" firstDataRow="1" firstDataCol="2"/>
  <pivotFields count="15">
    <pivotField compact="0" outline="0" showAll="0" defaultSubtotal="0"/>
    <pivotField compact="0" outline="0" showAll="0" defaultSubtotal="0"/>
    <pivotField compact="0" outline="0" showAll="0" defaultSubtotal="0"/>
    <pivotField compact="0" numFmtId="2" outline="0" showAll="0" defaultSubtotal="0"/>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0"/>
        <item x="3"/>
        <item x="2"/>
        <item x="1"/>
        <item x="4"/>
      </items>
    </pivotField>
    <pivotField compact="0" outline="0" showAll="0" defaultSubtotal="0"/>
    <pivotField axis="axisRow" compact="0" outline="0" showAll="0" defaultSubtotal="0">
      <items count="3">
        <item n="Long" x="2"/>
        <item n="Short" x="1"/>
        <item n="Medium" x="0"/>
      </items>
    </pivotField>
  </pivotFields>
  <rowFields count="2">
    <field x="14"/>
    <field x="12"/>
  </rowFields>
  <rowItems count="5">
    <i>
      <x/>
      <x/>
    </i>
    <i r="1">
      <x v="3"/>
    </i>
    <i>
      <x v="1"/>
      <x v="1"/>
    </i>
    <i r="1">
      <x v="4"/>
    </i>
    <i>
      <x v="2"/>
      <x v="2"/>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6B390-338D-4B2C-A79C-0449E6A4062A}" name="SalesByRepresentiv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B7" firstHeaderRow="1" firstDataRow="1" firstDataCol="1"/>
  <pivotFields count="15">
    <pivotField compact="0" outline="0" showAll="0"/>
    <pivotField compact="0" outline="0" showAll="0"/>
    <pivotField compact="0" outline="0" showAll="0"/>
    <pivotField compact="0" numFmtId="2" outline="0" showAll="0"/>
    <pivotField compact="0" outline="0" showAll="0">
      <items count="5">
        <item x="0"/>
        <item x="1"/>
        <item x="2"/>
        <item x="3"/>
        <item t="default"/>
      </items>
    </pivotField>
    <pivotField axis="axisRow" compact="0" outline="0"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compact="0" numFmtId="14" outline="0" showAll="0"/>
    <pivotField dataField="1" compact="0" numFmtId="164" outline="0" showAll="0"/>
    <pivotField compact="0" outline="0" showAll="0"/>
    <pivotField compact="0" outline="0" showAll="0"/>
    <pivotField compact="0" outline="0" showAll="0">
      <items count="3">
        <item x="0"/>
        <item x="1"/>
        <item t="default"/>
      </items>
    </pivotField>
    <pivotField compact="0" outline="0" showAll="0">
      <items count="8">
        <item x="0"/>
        <item x="1"/>
        <item x="2"/>
        <item x="3"/>
        <item x="4"/>
        <item x="5"/>
        <item x="6"/>
        <item t="default"/>
      </items>
    </pivotField>
    <pivotField compact="0" outline="0" showAll="0">
      <items count="6">
        <item x="0"/>
        <item x="3"/>
        <item x="2"/>
        <item x="1"/>
        <item x="4"/>
        <item t="default"/>
      </items>
    </pivotField>
    <pivotField compact="0" outline="0" showAll="0"/>
    <pivotField compact="0" outline="0" showAll="0">
      <items count="4">
        <item x="2"/>
        <item x="1"/>
        <item x="0"/>
        <item t="default"/>
      </items>
    </pivotField>
  </pivotFields>
  <rowFields count="1">
    <field x="5"/>
  </rowFields>
  <rowItems count="6">
    <i>
      <x v="2"/>
    </i>
    <i>
      <x v="1"/>
    </i>
    <i>
      <x v="4"/>
    </i>
    <i>
      <x/>
    </i>
    <i>
      <x v="3"/>
    </i>
    <i t="grand">
      <x/>
    </i>
  </rowItems>
  <colItems count="1">
    <i/>
  </colItems>
  <dataFields count="1">
    <dataField name="Total of Purchase Amount(Total Sales)" fld="7" baseField="5" baseItem="2"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0D95BA-F00E-4860-9D80-9307E856AE3F}" name="AverageSatisfactionRating"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7" firstHeaderRow="1" firstDataRow="1" firstDataCol="1"/>
  <pivotFields count="15">
    <pivotField compact="0" outline="0" showAll="0"/>
    <pivotField compact="0" outline="0" showAll="0"/>
    <pivotField compact="0" outline="0" showAll="0"/>
    <pivotField compact="0" numFmtId="2" outline="0" showAll="0"/>
    <pivotField compact="0" outline="0" showAll="0">
      <items count="5">
        <item x="0"/>
        <item x="1"/>
        <item x="2"/>
        <item x="3"/>
        <item t="default"/>
      </items>
    </pivotField>
    <pivotField axis="axisRow" compact="0" outline="0"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compact="0" numFmtId="14" outline="0" showAll="0"/>
    <pivotField compact="0" numFmtId="164" outline="0" showAll="0"/>
    <pivotField compact="0" outline="0" showAll="0"/>
    <pivotField dataField="1" compact="0" outline="0" showAll="0"/>
    <pivotField compact="0" outline="0" showAll="0">
      <items count="3">
        <item x="0"/>
        <item x="1"/>
        <item t="default"/>
      </items>
    </pivotField>
    <pivotField compact="0" outline="0" showAll="0">
      <items count="8">
        <item x="0"/>
        <item x="1"/>
        <item x="2"/>
        <item x="3"/>
        <item x="4"/>
        <item x="5"/>
        <item x="6"/>
        <item t="default"/>
      </items>
    </pivotField>
    <pivotField compact="0" outline="0" showAll="0">
      <items count="6">
        <item x="0"/>
        <item x="3"/>
        <item x="2"/>
        <item x="1"/>
        <item x="4"/>
        <item t="default"/>
      </items>
    </pivotField>
    <pivotField compact="0" outline="0" showAll="0"/>
    <pivotField compact="0" outline="0" showAll="0">
      <items count="4">
        <item x="2"/>
        <item x="1"/>
        <item x="0"/>
        <item t="default"/>
      </items>
    </pivotField>
  </pivotFields>
  <rowFields count="1">
    <field x="5"/>
  </rowFields>
  <rowItems count="6">
    <i>
      <x/>
    </i>
    <i>
      <x v="3"/>
    </i>
    <i>
      <x v="4"/>
    </i>
    <i>
      <x v="1"/>
    </i>
    <i>
      <x v="2"/>
    </i>
    <i t="grand">
      <x/>
    </i>
  </rowItems>
  <colItems count="1">
    <i/>
  </colItems>
  <dataFields count="1">
    <dataField name="Average of Satisfaction Rating" fld="9" subtotal="average" baseField="5" baseItem="0"/>
  </dataFields>
  <chartFormats count="3">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1DAFE-FE90-4ED6-9655-2C2696904008}" name="CategoryDuration"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8" firstHeaderRow="1" firstDataRow="1" firstDataCol="1"/>
  <pivotFields count="15">
    <pivotField compact="0" outline="0" showAll="0"/>
    <pivotField compact="0" outline="0" showAll="0"/>
    <pivotField compact="0" outline="0" showAll="0"/>
    <pivotField compact="0" numFmtId="2" outline="0" showAll="0"/>
    <pivotField axis="axisRow" dataField="1"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items count="6">
        <item x="2"/>
        <item x="1"/>
        <item x="4"/>
        <item x="3"/>
        <item x="0"/>
        <item t="default"/>
      </items>
    </pivotField>
    <pivotField compact="0" numFmtId="14" outline="0" showAll="0"/>
    <pivotField compact="0" numFmtId="164" outline="0" showAll="0"/>
    <pivotField compact="0" outline="0" showAll="0"/>
    <pivotField compact="0" outline="0" showAll="0"/>
    <pivotField compact="0" outline="0" showAll="0">
      <items count="3">
        <item x="0"/>
        <item x="1"/>
        <item t="default"/>
      </items>
    </pivotField>
    <pivotField compact="0" outline="0" showAll="0">
      <items count="8">
        <item x="0"/>
        <item x="1"/>
        <item x="2"/>
        <item x="3"/>
        <item x="4"/>
        <item x="5"/>
        <item x="6"/>
        <item t="default"/>
      </items>
    </pivotField>
    <pivotField compact="0" outline="0" showAll="0">
      <items count="6">
        <item x="0"/>
        <item x="3"/>
        <item x="2"/>
        <item x="1"/>
        <item x="4"/>
        <item t="default"/>
      </items>
    </pivotField>
    <pivotField compact="0" outline="0" showAll="0"/>
    <pivotField compact="0" outline="0" showAll="0" defaultSubtotal="0">
      <items count="3">
        <item x="0"/>
        <item x="1"/>
        <item x="2"/>
      </items>
    </pivotField>
  </pivotFields>
  <rowFields count="1">
    <field x="4"/>
  </rowFields>
  <rowItems count="5">
    <i>
      <x/>
    </i>
    <i>
      <x v="1"/>
    </i>
    <i>
      <x v="2"/>
    </i>
    <i>
      <x v="3"/>
    </i>
    <i t="grand">
      <x/>
    </i>
  </rowItems>
  <colItems count="1">
    <i/>
  </colItems>
  <dataFields count="1">
    <dataField name="Num of Duration Category" fld="4" subtotal="count" baseField="4"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4" count="1" selected="0">
            <x v="0"/>
          </reference>
        </references>
      </pivotArea>
    </chartFormat>
    <chartFormat chart="6" format="22">
      <pivotArea type="data" outline="0" fieldPosition="0">
        <references count="2">
          <reference field="4294967294" count="1" selected="0">
            <x v="0"/>
          </reference>
          <reference field="4" count="1" selected="0">
            <x v="1"/>
          </reference>
        </references>
      </pivotArea>
    </chartFormat>
    <chartFormat chart="6" format="23">
      <pivotArea type="data" outline="0" fieldPosition="0">
        <references count="2">
          <reference field="4294967294" count="1" selected="0">
            <x v="0"/>
          </reference>
          <reference field="4" count="1" selected="0">
            <x v="2"/>
          </reference>
        </references>
      </pivotArea>
    </chartFormat>
    <chartFormat chart="6" format="2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2CD998-D0CA-44B3-B766-4D4B3F4ED5CD}" name="RevenueByDay"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11" firstHeaderRow="1" firstDataRow="1" firstDataCol="1"/>
  <pivotFields count="15">
    <pivotField compact="0" outline="0" showAll="0"/>
    <pivotField compact="0" outline="0" showAll="0"/>
    <pivotField compact="0" outline="0" showAll="0"/>
    <pivotField compact="0" numFmtId="2" outline="0" showAll="0"/>
    <pivotField compact="0" outline="0" showAll="0">
      <items count="5">
        <item x="0"/>
        <item x="1"/>
        <item x="2"/>
        <item x="3"/>
        <item t="default"/>
      </items>
    </pivotField>
    <pivotField compact="0" outline="0" showAll="0">
      <items count="6">
        <item x="2"/>
        <item x="1"/>
        <item x="4"/>
        <item x="3"/>
        <item x="0"/>
        <item t="default"/>
      </items>
    </pivotField>
    <pivotField compact="0" numFmtId="14" outline="0" showAll="0"/>
    <pivotField dataField="1" compact="0" numFmtId="164" outline="0" showAll="0"/>
    <pivotField compact="0" outline="0" showAll="0"/>
    <pivotField compact="0" outline="0" showAll="0"/>
    <pivotField compact="0" outline="0" showAll="0">
      <items count="3">
        <item x="0"/>
        <item x="1"/>
        <item t="default"/>
      </items>
    </pivotField>
    <pivotField axis="axisRow" compact="0" outline="0"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compact="0" outline="0" showAll="0">
      <items count="6">
        <item x="0"/>
        <item x="3"/>
        <item x="2"/>
        <item x="1"/>
        <item x="4"/>
        <item t="default"/>
      </items>
    </pivotField>
    <pivotField compact="0" outline="0" showAll="0"/>
    <pivotField compact="0" outline="0" showAll="0">
      <items count="4">
        <item x="2"/>
        <item x="1"/>
        <item x="0"/>
        <item t="default"/>
      </items>
    </pivotField>
  </pivotFields>
  <rowFields count="1">
    <field x="11"/>
  </rowFields>
  <rowItems count="8">
    <i>
      <x v="6"/>
    </i>
    <i>
      <x v="3"/>
    </i>
    <i>
      <x/>
    </i>
    <i>
      <x v="2"/>
    </i>
    <i>
      <x v="5"/>
    </i>
    <i>
      <x v="1"/>
    </i>
    <i>
      <x v="4"/>
    </i>
    <i t="grand">
      <x/>
    </i>
  </rowItems>
  <colItems count="1">
    <i/>
  </colItems>
  <dataFields count="1">
    <dataField name="Total of Purchase Amount(Total Revenue)" fld="7" baseField="11" baseItem="6" numFmtId="164"/>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8994CF-F36A-4F58-80D8-B7D62A3F13CB}" name="CallsBy Representiv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B7" firstHeaderRow="1" firstDataRow="1" firstDataCol="1"/>
  <pivotFields count="15">
    <pivotField dataField="1" compact="0" outline="0" showAll="0"/>
    <pivotField compact="0" outline="0" showAll="0"/>
    <pivotField compact="0" outline="0" showAll="0"/>
    <pivotField compact="0" numFmtId="2" outline="0" showAll="0"/>
    <pivotField compact="0" outline="0" showAll="0">
      <items count="5">
        <item x="0"/>
        <item x="1"/>
        <item x="2"/>
        <item x="3"/>
        <item t="default"/>
      </items>
    </pivotField>
    <pivotField axis="axisRow" compact="0" outline="0"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compact="0" numFmtId="14" outline="0" showAll="0"/>
    <pivotField compact="0" numFmtId="164" outline="0" showAll="0"/>
    <pivotField compact="0" outline="0" showAll="0"/>
    <pivotField compact="0" outline="0" showAll="0"/>
    <pivotField compact="0" outline="0" showAll="0">
      <items count="3">
        <item x="0"/>
        <item x="1"/>
        <item t="default"/>
      </items>
    </pivotField>
    <pivotField compact="0" outline="0" showAll="0">
      <items count="8">
        <item x="0"/>
        <item x="1"/>
        <item x="2"/>
        <item x="3"/>
        <item x="4"/>
        <item x="5"/>
        <item x="6"/>
        <item t="default"/>
      </items>
    </pivotField>
    <pivotField compact="0" outline="0" showAll="0">
      <items count="6">
        <item x="0"/>
        <item x="3"/>
        <item x="2"/>
        <item x="1"/>
        <item x="4"/>
        <item t="default"/>
      </items>
    </pivotField>
    <pivotField compact="0" outline="0" showAll="0"/>
    <pivotField compact="0" outline="0" showAll="0">
      <items count="4">
        <item x="2"/>
        <item x="1"/>
        <item x="0"/>
        <item t="default"/>
      </items>
    </pivotField>
  </pivotFields>
  <rowFields count="1">
    <field x="5"/>
  </rowFields>
  <rowItems count="6">
    <i>
      <x v="1"/>
    </i>
    <i>
      <x v="2"/>
    </i>
    <i>
      <x v="4"/>
    </i>
    <i>
      <x/>
    </i>
    <i>
      <x v="3"/>
    </i>
    <i t="grand">
      <x/>
    </i>
  </rowItems>
  <colItems count="1">
    <i/>
  </colItems>
  <dataFields count="1">
    <dataField name="Total of Calls" fld="0" subtotal="count" baseField="5" baseItem="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BD9E42-7641-4E1D-9712-FA76A362E070}" name="CallsByDay"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B9" firstHeaderRow="1" firstDataRow="1" firstDataCol="1"/>
  <pivotFields count="15">
    <pivotField dataField="1" compact="0" outline="0" showAll="0"/>
    <pivotField compact="0" outline="0" showAll="0"/>
    <pivotField compact="0" outline="0" showAll="0"/>
    <pivotField compact="0" numFmtId="2" outline="0" showAll="0"/>
    <pivotField compact="0" outline="0" showAll="0">
      <items count="5">
        <item x="0"/>
        <item x="1"/>
        <item x="2"/>
        <item x="3"/>
        <item t="default"/>
      </items>
    </pivotField>
    <pivotField compact="0" outline="0" showAll="0">
      <items count="6">
        <item x="2"/>
        <item x="1"/>
        <item x="4"/>
        <item x="3"/>
        <item x="0"/>
        <item t="default"/>
      </items>
    </pivotField>
    <pivotField compact="0" numFmtId="14" outline="0" showAll="0"/>
    <pivotField compact="0" numFmtId="164" outline="0" showAll="0"/>
    <pivotField compact="0" outline="0" showAll="0"/>
    <pivotField compact="0" outline="0" showAll="0"/>
    <pivotField compact="0" outline="0" showAll="0">
      <items count="3">
        <item x="0"/>
        <item x="1"/>
        <item t="default"/>
      </items>
    </pivotField>
    <pivotField axis="axisRow" compact="0" outline="0"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compact="0" outline="0" showAll="0">
      <items count="6">
        <item x="0"/>
        <item x="3"/>
        <item x="2"/>
        <item x="1"/>
        <item x="4"/>
        <item t="default"/>
      </items>
    </pivotField>
    <pivotField compact="0" outline="0" showAll="0"/>
    <pivotField compact="0" outline="0" showAll="0">
      <items count="4">
        <item x="2"/>
        <item x="1"/>
        <item x="0"/>
        <item t="default"/>
      </items>
    </pivotField>
  </pivotFields>
  <rowFields count="1">
    <field x="11"/>
  </rowFields>
  <rowItems count="8">
    <i>
      <x v="6"/>
    </i>
    <i>
      <x v="3"/>
    </i>
    <i>
      <x/>
    </i>
    <i>
      <x v="5"/>
    </i>
    <i>
      <x v="2"/>
    </i>
    <i>
      <x v="1"/>
    </i>
    <i>
      <x v="4"/>
    </i>
    <i t="grand">
      <x/>
    </i>
  </rowItems>
  <colItems count="1">
    <i/>
  </colItems>
  <dataFields count="1">
    <dataField name="Num of Call " fld="0" subtotal="count" baseField="11" baseItem="6"/>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Category" xr10:uid="{F2C8BDAF-AC90-4407-8445-4C0F7221C866}" sourceName="Duration Category">
  <pivotTables>
    <pivotTable tabId="2" name="SalesByRepresentive"/>
    <pivotTable tabId="3" name="AverageSatisfactionRating"/>
    <pivotTable tabId="12" name="CategoryDuration"/>
    <pivotTable tabId="5" name="RevenueByDay"/>
    <pivotTable tabId="6" name="CallsBy Representive"/>
    <pivotTable tabId="7" name="CallsByDay"/>
  </pivotTables>
  <data>
    <tabular pivotCacheId="51178351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885F5F9-4AE9-4706-9616-2533CE9E080B}" sourceName="Representative">
  <pivotTables>
    <pivotTable tabId="2" name="SalesByRepresentive"/>
    <pivotTable tabId="12" name="CategoryDuration"/>
    <pivotTable tabId="5" name="RevenueByDay"/>
    <pivotTable tabId="6" name="CallsBy Representive"/>
    <pivotTable tabId="7" name="CallsByDay"/>
  </pivotTables>
  <data>
    <tabular pivotCacheId="511783512">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C5EA906F-5B87-4494-83BB-2412E5625082}" sourceName="Financial Year">
  <pivotTables>
    <pivotTable tabId="2" name="SalesByRepresentive"/>
    <pivotTable tabId="3" name="AverageSatisfactionRating"/>
    <pivotTable tabId="12" name="CategoryDuration"/>
    <pivotTable tabId="5" name="RevenueByDay"/>
    <pivotTable tabId="6" name="CallsBy Representive"/>
    <pivotTable tabId="7" name="CallsByDay"/>
  </pivotTables>
  <data>
    <tabular pivotCacheId="51178351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5AFC0794-61D9-4808-9232-BF0EAB93C803}" sourceName="Day of week">
  <pivotTables>
    <pivotTable tabId="2" name="SalesByRepresentive"/>
    <pivotTable tabId="3" name="AverageSatisfactionRating"/>
    <pivotTable tabId="12" name="CategoryDuration"/>
    <pivotTable tabId="5" name="RevenueByDay"/>
    <pivotTable tabId="6" name="CallsBy Representive"/>
    <pivotTable tabId="7" name="CallsByDay"/>
  </pivotTables>
  <data>
    <tabular pivotCacheId="511783512">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Category 1" xr10:uid="{4B1B24E6-667A-436C-A928-13CFCC44BC99}" cache="Slicer_Duration_Category" caption="Duration Category" style="SlicerStyleDark1 3 2 2" rowHeight="251883"/>
  <slicer name="Representative 1" xr10:uid="{D68F9CCE-8C12-44C6-BB7E-320AC1A435AD}" cache="Slicer_Representative" caption="Representative" style="SlicerStyleDark1" rowHeight="251883"/>
  <slicer name="Financial Year 1" xr10:uid="{56D8AC03-7ECC-4F9E-92F2-BF7465BB848F}" cache="Slicer_Financial_Year" caption="Financial Year" style="SlicerStyleDark1 3 2 2" rowHeight="251883"/>
  <slicer name="Day of week 1" xr10:uid="{EFCC589D-720C-43ED-A914-2F4F7E14D1A1}" cache="Slicer_Day_of_week" caption="Day of week" columnCount="2" style="SlicerStyleDark1 3 2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lData" displayName="CallData" ref="A1:M1001" headerRowDxfId="30" dataDxfId="29" totalsRowDxfId="28">
  <autoFilter ref="A1:M1001" xr:uid="{00000000-000C-0000-FFFF-FFFF00000000}"/>
  <tableColumns count="13">
    <tableColumn id="1" xr3:uid="{00000000-0010-0000-0000-000001000000}" name="Call number" dataDxfId="27"/>
    <tableColumn id="2" xr3:uid="{00000000-0010-0000-0000-000002000000}" name="Customer ID" dataDxfId="26"/>
    <tableColumn id="3" xr3:uid="{00000000-0010-0000-0000-000003000000}" name="Duration" dataDxfId="25"/>
    <tableColumn id="14" xr3:uid="{A9F2D228-AADF-4E93-A857-EA3653612751}" name="Duration Category" dataDxfId="24">
      <calculatedColumnFormula array="1">_xlfn.IFS(CallData[[#This Row],[Duration]]&lt;=15,"Very short",CallData[[#This Row],[Duration]]&lt;=30,"Short",CallData[[#This Row],[Duration]]&lt;=60,"Medium",CallData[[#This Row],[Duration]]&gt;60,"Long")</calculatedColumnFormula>
    </tableColumn>
    <tableColumn id="4" xr3:uid="{00000000-0010-0000-0000-000004000000}" name="Representative" dataDxfId="23"/>
    <tableColumn id="5" xr3:uid="{00000000-0010-0000-0000-000005000000}" name="Date of Call" dataDxfId="22"/>
    <tableColumn id="6" xr3:uid="{00000000-0010-0000-0000-000006000000}" name="Purchase Amount" dataDxfId="21"/>
    <tableColumn id="15" xr3:uid="{62DC16CA-EAA8-4F32-886D-8F99AEECD655}" name="Purchase Category" dataDxfId="20">
      <calculatedColumnFormula array="1">_xlfn.IFS(CallData[[#This Row],[Purchase Amount]]&lt;=50,"Low",CallData[[#This Row],[Purchase Amount]]&lt;=100,"Medium",CallData[[#This Row],[Purchase Amount]]&lt;=150,"High",CallData[[#This Row],[Purchase Amount]]&gt;150,"Very High")</calculatedColumnFormula>
    </tableColumn>
    <tableColumn id="7" xr3:uid="{00000000-0010-0000-0000-000007000000}" name="Satisfaction Rating" dataDxfId="19"/>
    <tableColumn id="8" xr3:uid="{00000000-0010-0000-0000-000008000000}" name="Financial Year" dataDxfId="18"/>
    <tableColumn id="9" xr3:uid="{00000000-0010-0000-0000-000009000000}" name="Day of week" dataDxfId="17"/>
    <tableColumn id="10" xr3:uid="{00000000-0010-0000-0000-00000A000000}" name="Duration Bucket" dataDxfId="16"/>
    <tableColumn id="11" xr3:uid="{00000000-0010-0000-0000-00000B000000}" name="Rating rounded" dataDxfId="15">
      <calculatedColumnFormula>ROUND('Call Data'!$I2,0)</calculatedColumnFormula>
    </tableColumn>
  </tableColumns>
  <tableStyleInfo name="Data-style" showFirstColumn="1" showLastColumn="1"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B1" zoomScale="92" zoomScaleNormal="92" workbookViewId="0">
      <pane ySplit="1" topLeftCell="A2" activePane="bottomLeft" state="frozen"/>
      <selection pane="bottomLeft" activeCell="J1" sqref="J1"/>
    </sheetView>
  </sheetViews>
  <sheetFormatPr defaultColWidth="12.6640625" defaultRowHeight="15" customHeight="1" x14ac:dyDescent="0.35"/>
  <cols>
    <col min="1" max="1" width="14.6640625" customWidth="1"/>
    <col min="2" max="2" width="12.9140625" customWidth="1"/>
    <col min="3" max="3" width="12.5" bestFit="1" customWidth="1"/>
    <col min="4" max="4" width="20.1640625" style="14" bestFit="1" customWidth="1"/>
    <col min="5" max="5" width="15" customWidth="1"/>
    <col min="6" max="6" width="16.1640625" style="12" customWidth="1"/>
    <col min="7" max="8" width="17.25" style="13" customWidth="1"/>
    <col min="9" max="9" width="27.9140625" style="15" customWidth="1"/>
    <col min="10" max="10" width="17.25" customWidth="1"/>
    <col min="11" max="11" width="22.5" customWidth="1"/>
    <col min="12" max="12" width="18.1640625" customWidth="1"/>
    <col min="13" max="13" width="15.5" customWidth="1"/>
    <col min="14" max="17" width="7.5" customWidth="1"/>
    <col min="18" max="18" width="14.6640625" customWidth="1"/>
    <col min="19" max="20" width="8.6640625" customWidth="1"/>
    <col min="21" max="21" width="10.6640625" customWidth="1"/>
    <col min="22" max="27" width="8.6640625" customWidth="1"/>
  </cols>
  <sheetData>
    <row r="1" spans="1:21" ht="14.25" customHeight="1" x14ac:dyDescent="0.35">
      <c r="A1" s="16" t="s">
        <v>0</v>
      </c>
      <c r="B1" s="16" t="s">
        <v>1</v>
      </c>
      <c r="C1" s="16" t="s">
        <v>2</v>
      </c>
      <c r="D1" s="17" t="s">
        <v>1036</v>
      </c>
      <c r="E1" s="16" t="s">
        <v>3</v>
      </c>
      <c r="F1" s="18" t="s">
        <v>4</v>
      </c>
      <c r="G1" s="19" t="s">
        <v>5</v>
      </c>
      <c r="H1" s="19" t="s">
        <v>1037</v>
      </c>
      <c r="I1" s="16" t="s">
        <v>6</v>
      </c>
      <c r="J1" s="20" t="s">
        <v>7</v>
      </c>
      <c r="K1" s="20" t="s">
        <v>8</v>
      </c>
      <c r="L1" s="21" t="s">
        <v>9</v>
      </c>
      <c r="M1" s="22" t="s">
        <v>10</v>
      </c>
      <c r="R1" s="1"/>
      <c r="S1" s="2"/>
      <c r="T1" s="2"/>
      <c r="U1" s="3"/>
    </row>
    <row r="2" spans="1:21" ht="14.25" customHeight="1" x14ac:dyDescent="0.35">
      <c r="A2" s="23" t="s">
        <v>11</v>
      </c>
      <c r="B2" s="23" t="s">
        <v>12</v>
      </c>
      <c r="C2" s="23">
        <v>116</v>
      </c>
      <c r="D2" s="24" t="str" cm="1">
        <f t="array" ref="D2">_xlfn.IFS(CallData[[#This Row],[Duration]]&lt;=15,"Very short",CallData[[#This Row],[Duration]]&lt;=30,"Short",CallData[[#This Row],[Duration]]&lt;=60,"Medium",CallData[[#This Row],[Duration]]&gt;60,"Long")</f>
        <v>Long</v>
      </c>
      <c r="E2" s="24" t="s">
        <v>13</v>
      </c>
      <c r="F2" s="25">
        <v>44927</v>
      </c>
      <c r="G2" s="26">
        <v>128</v>
      </c>
      <c r="H2" s="26" t="str" cm="1">
        <f t="array" ref="H2">_xlfn.IFS(CallData[[#This Row],[Purchase Amount]]&lt;=50,"Low",CallData[[#This Row],[Purchase Amount]]&lt;=100,"Medium",CallData[[#This Row],[Purchase Amount]]&lt;=150,"High",CallData[[#This Row],[Purchase Amount]]&gt;150,"Very High")</f>
        <v>High</v>
      </c>
      <c r="I2" s="23">
        <v>4.9000000000000004</v>
      </c>
      <c r="J2" s="23">
        <f>IF(MONTH('Call Data'!$F2)&lt;=6, YEAR('Call Data'!$F2), YEAR('Call Data'!$F2)+1)</f>
        <v>2023</v>
      </c>
      <c r="K2" s="23" t="str">
        <f>TEXT('Call Data'!$F2,"DDDD")</f>
        <v>Sunday</v>
      </c>
      <c r="L2" s="23" t="s">
        <v>14</v>
      </c>
      <c r="M2" s="23">
        <f>ROUND('Call Data'!$I2,0)</f>
        <v>5</v>
      </c>
      <c r="R2" s="4"/>
      <c r="S2" s="5"/>
      <c r="T2" s="6"/>
      <c r="U2" s="7"/>
    </row>
    <row r="3" spans="1:21" ht="14.25" customHeight="1" x14ac:dyDescent="0.35">
      <c r="A3" s="23" t="s">
        <v>15</v>
      </c>
      <c r="B3" s="23" t="s">
        <v>16</v>
      </c>
      <c r="C3" s="27">
        <v>119</v>
      </c>
      <c r="D3" s="24" t="str" cm="1">
        <f t="array" ref="D3">_xlfn.IFS(CallData[[#This Row],[Duration]]&lt;=15,"Very short",CallData[[#This Row],[Duration]]&lt;=30,"Short",CallData[[#This Row],[Duration]]&lt;=60,"Medium",CallData[[#This Row],[Duration]]&gt;60,"Long")</f>
        <v>Long</v>
      </c>
      <c r="E3" s="24" t="s">
        <v>13</v>
      </c>
      <c r="F3" s="25">
        <v>44927</v>
      </c>
      <c r="G3" s="26">
        <v>135</v>
      </c>
      <c r="H3" s="26" t="str" cm="1">
        <f t="array" ref="H3">_xlfn.IFS(CallData[[#This Row],[Purchase Amount]]&lt;=50,"Low",CallData[[#This Row],[Purchase Amount]]&lt;=100,"Medium",CallData[[#This Row],[Purchase Amount]]&lt;=150,"High",CallData[[#This Row],[Purchase Amount]]&gt;150,"Very High")</f>
        <v>High</v>
      </c>
      <c r="I3" s="23">
        <v>2.9</v>
      </c>
      <c r="J3" s="23">
        <f>IF(MONTH('Call Data'!$F3)&lt;=6, YEAR('Call Data'!$F3), YEAR('Call Data'!$F3)+1)</f>
        <v>2023</v>
      </c>
      <c r="K3" s="23" t="str">
        <f>TEXT('Call Data'!$F3,"DDDD")</f>
        <v>Sunday</v>
      </c>
      <c r="L3" s="23" t="s">
        <v>14</v>
      </c>
      <c r="M3" s="23">
        <f>ROUND('Call Data'!$I3,0)</f>
        <v>3</v>
      </c>
      <c r="R3" s="4"/>
      <c r="S3" s="5"/>
      <c r="T3" s="6"/>
      <c r="U3" s="7"/>
    </row>
    <row r="4" spans="1:21" ht="14.25" customHeight="1" x14ac:dyDescent="0.35">
      <c r="A4" s="23" t="s">
        <v>17</v>
      </c>
      <c r="B4" s="23" t="s">
        <v>18</v>
      </c>
      <c r="C4" s="23">
        <v>68</v>
      </c>
      <c r="D4" s="24" t="str" cm="1">
        <f t="array" ref="D4">_xlfn.IFS(CallData[[#This Row],[Duration]]&lt;=15,"Very short",CallData[[#This Row],[Duration]]&lt;=30,"Short",CallData[[#This Row],[Duration]]&lt;=60,"Medium",CallData[[#This Row],[Duration]]&gt;60,"Long")</f>
        <v>Long</v>
      </c>
      <c r="E4" s="24" t="s">
        <v>19</v>
      </c>
      <c r="F4" s="25">
        <v>44927</v>
      </c>
      <c r="G4" s="26">
        <v>66</v>
      </c>
      <c r="H4" s="26" t="str" cm="1">
        <f t="array" ref="H4">_xlfn.IFS(CallData[[#This Row],[Purchase Amount]]&lt;=50,"Low",CallData[[#This Row],[Purchase Amount]]&lt;=100,"Medium",CallData[[#This Row],[Purchase Amount]]&lt;=150,"High",CallData[[#This Row],[Purchase Amount]]&gt;150,"Very High")</f>
        <v>Medium</v>
      </c>
      <c r="I4" s="23">
        <v>4.7</v>
      </c>
      <c r="J4" s="23">
        <f>IF(MONTH('Call Data'!$F4)&lt;=6, YEAR('Call Data'!$F4), YEAR('Call Data'!$F4)+1)</f>
        <v>2023</v>
      </c>
      <c r="K4" s="23" t="str">
        <f>TEXT('Call Data'!$F4,"DDDD")</f>
        <v>Sunday</v>
      </c>
      <c r="L4" s="23" t="s">
        <v>14</v>
      </c>
      <c r="M4" s="23">
        <f>ROUND('Call Data'!$I4,0)</f>
        <v>5</v>
      </c>
      <c r="R4" s="4"/>
      <c r="S4" s="5"/>
      <c r="T4" s="6"/>
      <c r="U4" s="7"/>
    </row>
    <row r="5" spans="1:21" ht="14.25" customHeight="1" x14ac:dyDescent="0.35">
      <c r="A5" s="23" t="s">
        <v>20</v>
      </c>
      <c r="B5" s="23" t="s">
        <v>21</v>
      </c>
      <c r="C5" s="23">
        <v>119</v>
      </c>
      <c r="D5" s="24" t="str" cm="1">
        <f t="array" ref="D5">_xlfn.IFS(CallData[[#This Row],[Duration]]&lt;=15,"Very short",CallData[[#This Row],[Duration]]&lt;=30,"Short",CallData[[#This Row],[Duration]]&lt;=60,"Medium",CallData[[#This Row],[Duration]]&gt;60,"Long")</f>
        <v>Long</v>
      </c>
      <c r="E5" s="24" t="s">
        <v>19</v>
      </c>
      <c r="F5" s="25">
        <v>44927</v>
      </c>
      <c r="G5" s="26">
        <v>22</v>
      </c>
      <c r="H5" s="26" t="str" cm="1">
        <f t="array" ref="H5">_xlfn.IFS(CallData[[#This Row],[Purchase Amount]]&lt;=50,"Low",CallData[[#This Row],[Purchase Amount]]&lt;=100,"Medium",CallData[[#This Row],[Purchase Amount]]&lt;=150,"High",CallData[[#This Row],[Purchase Amount]]&gt;150,"Very High")</f>
        <v>Low</v>
      </c>
      <c r="I5" s="23">
        <v>2.9</v>
      </c>
      <c r="J5" s="23">
        <f>IF(MONTH('Call Data'!$F5)&lt;=6, YEAR('Call Data'!$F5), YEAR('Call Data'!$F5)+1)</f>
        <v>2023</v>
      </c>
      <c r="K5" s="23" t="str">
        <f>TEXT('Call Data'!$F5,"DDDD")</f>
        <v>Sunday</v>
      </c>
      <c r="L5" s="23" t="s">
        <v>14</v>
      </c>
      <c r="M5" s="23">
        <f>ROUND('Call Data'!$I5,0)</f>
        <v>3</v>
      </c>
      <c r="R5" s="4"/>
      <c r="S5" s="5"/>
      <c r="T5" s="6"/>
      <c r="U5" s="7"/>
    </row>
    <row r="6" spans="1:21" ht="14.25" customHeight="1" x14ac:dyDescent="0.35">
      <c r="A6" s="23" t="s">
        <v>22</v>
      </c>
      <c r="B6" s="23" t="s">
        <v>23</v>
      </c>
      <c r="C6" s="23">
        <v>128</v>
      </c>
      <c r="D6" s="24" t="str" cm="1">
        <f t="array" ref="D6">_xlfn.IFS(CallData[[#This Row],[Duration]]&lt;=15,"Very short",CallData[[#This Row],[Duration]]&lt;=30,"Short",CallData[[#This Row],[Duration]]&lt;=60,"Medium",CallData[[#This Row],[Duration]]&gt;60,"Long")</f>
        <v>Long</v>
      </c>
      <c r="E6" s="24" t="s">
        <v>24</v>
      </c>
      <c r="F6" s="25">
        <v>44928</v>
      </c>
      <c r="G6" s="26">
        <v>31</v>
      </c>
      <c r="H6" s="26" t="str" cm="1">
        <f t="array" ref="H6">_xlfn.IFS(CallData[[#This Row],[Purchase Amount]]&lt;=50,"Low",CallData[[#This Row],[Purchase Amount]]&lt;=100,"Medium",CallData[[#This Row],[Purchase Amount]]&lt;=150,"High",CallData[[#This Row],[Purchase Amount]]&gt;150,"Very High")</f>
        <v>Low</v>
      </c>
      <c r="I6" s="23">
        <v>2.8</v>
      </c>
      <c r="J6" s="23">
        <f>IF(MONTH('Call Data'!$F6)&lt;=6, YEAR('Call Data'!$F6), YEAR('Call Data'!$F6)+1)</f>
        <v>2023</v>
      </c>
      <c r="K6" s="23" t="str">
        <f>TEXT('Call Data'!$F6,"DDDD")</f>
        <v>Monday</v>
      </c>
      <c r="L6" s="23" t="s">
        <v>25</v>
      </c>
      <c r="M6" s="23">
        <f>ROUND('Call Data'!$I6,0)</f>
        <v>3</v>
      </c>
      <c r="R6" s="4"/>
      <c r="S6" s="5"/>
      <c r="T6" s="6"/>
      <c r="U6" s="7"/>
    </row>
    <row r="7" spans="1:21" ht="14.25" customHeight="1" x14ac:dyDescent="0.35">
      <c r="A7" s="23" t="s">
        <v>26</v>
      </c>
      <c r="B7" s="23" t="s">
        <v>23</v>
      </c>
      <c r="C7" s="23">
        <v>49</v>
      </c>
      <c r="D7" s="24" t="str" cm="1">
        <f t="array" ref="D7">_xlfn.IFS(CallData[[#This Row],[Duration]]&lt;=15,"Very short",CallData[[#This Row],[Duration]]&lt;=30,"Short",CallData[[#This Row],[Duration]]&lt;=60,"Medium",CallData[[#This Row],[Duration]]&gt;60,"Long")</f>
        <v>Medium</v>
      </c>
      <c r="E7" s="24" t="s">
        <v>19</v>
      </c>
      <c r="F7" s="25">
        <v>44929</v>
      </c>
      <c r="G7" s="26">
        <v>135</v>
      </c>
      <c r="H7" s="26" t="str" cm="1">
        <f t="array" ref="H7">_xlfn.IFS(CallData[[#This Row],[Purchase Amount]]&lt;=50,"Low",CallData[[#This Row],[Purchase Amount]]&lt;=100,"Medium",CallData[[#This Row],[Purchase Amount]]&lt;=150,"High",CallData[[#This Row],[Purchase Amount]]&gt;150,"Very High")</f>
        <v>High</v>
      </c>
      <c r="I7" s="23">
        <v>4.8</v>
      </c>
      <c r="J7" s="23">
        <f>IF(MONTH('Call Data'!$F7)&lt;=6, YEAR('Call Data'!$F7), YEAR('Call Data'!$F7)+1)</f>
        <v>2023</v>
      </c>
      <c r="K7" s="23" t="str">
        <f>TEXT('Call Data'!$F7,"DDDD")</f>
        <v>Tuesday</v>
      </c>
      <c r="L7" s="23" t="s">
        <v>27</v>
      </c>
      <c r="M7" s="23">
        <f>ROUND('Call Data'!$I7,0)</f>
        <v>5</v>
      </c>
      <c r="R7" s="4"/>
      <c r="S7" s="5"/>
      <c r="T7" s="6"/>
      <c r="U7" s="7"/>
    </row>
    <row r="8" spans="1:21" ht="14.25" customHeight="1" x14ac:dyDescent="0.35">
      <c r="A8" s="23" t="s">
        <v>28</v>
      </c>
      <c r="B8" s="23" t="s">
        <v>29</v>
      </c>
      <c r="C8" s="23">
        <v>84</v>
      </c>
      <c r="D8" s="24" t="str" cm="1">
        <f t="array" ref="D8">_xlfn.IFS(CallData[[#This Row],[Duration]]&lt;=15,"Very short",CallData[[#This Row],[Duration]]&lt;=30,"Short",CallData[[#This Row],[Duration]]&lt;=60,"Medium",CallData[[#This Row],[Duration]]&gt;60,"Long")</f>
        <v>Long</v>
      </c>
      <c r="E8" s="24" t="s">
        <v>13</v>
      </c>
      <c r="F8" s="25">
        <v>44929</v>
      </c>
      <c r="G8" s="26">
        <v>60</v>
      </c>
      <c r="H8" s="26" t="str" cm="1">
        <f t="array" ref="H8">_xlfn.IFS(CallData[[#This Row],[Purchase Amount]]&lt;=50,"Low",CallData[[#This Row],[Purchase Amount]]&lt;=100,"Medium",CallData[[#This Row],[Purchase Amount]]&lt;=150,"High",CallData[[#This Row],[Purchase Amount]]&gt;150,"Very High")</f>
        <v>Medium</v>
      </c>
      <c r="I8" s="23">
        <v>4.7</v>
      </c>
      <c r="J8" s="23">
        <f>IF(MONTH('Call Data'!$F8)&lt;=6, YEAR('Call Data'!$F8), YEAR('Call Data'!$F8)+1)</f>
        <v>2023</v>
      </c>
      <c r="K8" s="23" t="str">
        <f>TEXT('Call Data'!$F8,"DDDD")</f>
        <v>Tuesday</v>
      </c>
      <c r="L8" s="23" t="s">
        <v>14</v>
      </c>
      <c r="M8" s="23">
        <f>ROUND('Call Data'!$I8,0)</f>
        <v>5</v>
      </c>
      <c r="R8" s="4"/>
      <c r="S8" s="5"/>
      <c r="T8" s="6"/>
      <c r="U8" s="7"/>
    </row>
    <row r="9" spans="1:21" ht="14.25" customHeight="1" x14ac:dyDescent="0.35">
      <c r="A9" s="23" t="s">
        <v>30</v>
      </c>
      <c r="B9" s="23" t="s">
        <v>12</v>
      </c>
      <c r="C9" s="23">
        <v>103</v>
      </c>
      <c r="D9" s="24" t="str" cm="1">
        <f t="array" ref="D9">_xlfn.IFS(CallData[[#This Row],[Duration]]&lt;=15,"Very short",CallData[[#This Row],[Duration]]&lt;=30,"Short",CallData[[#This Row],[Duration]]&lt;=60,"Medium",CallData[[#This Row],[Duration]]&gt;60,"Long")</f>
        <v>Long</v>
      </c>
      <c r="E9" s="24" t="s">
        <v>31</v>
      </c>
      <c r="F9" s="25">
        <v>44929</v>
      </c>
      <c r="G9" s="26">
        <v>148</v>
      </c>
      <c r="H9" s="26" t="str" cm="1">
        <f t="array" ref="H9">_xlfn.IFS(CallData[[#This Row],[Purchase Amount]]&lt;=50,"Low",CallData[[#This Row],[Purchase Amount]]&lt;=100,"Medium",CallData[[#This Row],[Purchase Amount]]&lt;=150,"High",CallData[[#This Row],[Purchase Amount]]&gt;150,"Very High")</f>
        <v>High</v>
      </c>
      <c r="I9" s="23">
        <v>4.4000000000000004</v>
      </c>
      <c r="J9" s="23">
        <f>IF(MONTH('Call Data'!$F9)&lt;=6, YEAR('Call Data'!$F9), YEAR('Call Data'!$F9)+1)</f>
        <v>2023</v>
      </c>
      <c r="K9" s="23" t="str">
        <f>TEXT('Call Data'!$F9,"DDDD")</f>
        <v>Tuesday</v>
      </c>
      <c r="L9" s="23" t="s">
        <v>14</v>
      </c>
      <c r="M9" s="23">
        <f>ROUND('Call Data'!$I9,0)</f>
        <v>4</v>
      </c>
      <c r="R9" s="4"/>
      <c r="S9" s="5"/>
      <c r="T9" s="6"/>
      <c r="U9" s="7"/>
    </row>
    <row r="10" spans="1:21" ht="14.25" customHeight="1" x14ac:dyDescent="0.35">
      <c r="A10" s="23" t="s">
        <v>32</v>
      </c>
      <c r="B10" s="23" t="s">
        <v>18</v>
      </c>
      <c r="C10" s="23">
        <v>31</v>
      </c>
      <c r="D10" s="24" t="str" cm="1">
        <f t="array" ref="D10">_xlfn.IFS(CallData[[#This Row],[Duration]]&lt;=15,"Very short",CallData[[#This Row],[Duration]]&lt;=30,"Short",CallData[[#This Row],[Duration]]&lt;=60,"Medium",CallData[[#This Row],[Duration]]&gt;60,"Long")</f>
        <v>Medium</v>
      </c>
      <c r="E10" s="24" t="s">
        <v>19</v>
      </c>
      <c r="F10" s="25">
        <v>44929</v>
      </c>
      <c r="G10" s="26">
        <v>135</v>
      </c>
      <c r="H10" s="26" t="str" cm="1">
        <f t="array" ref="H10">_xlfn.IFS(CallData[[#This Row],[Purchase Amount]]&lt;=50,"Low",CallData[[#This Row],[Purchase Amount]]&lt;=100,"Medium",CallData[[#This Row],[Purchase Amount]]&lt;=150,"High",CallData[[#This Row],[Purchase Amount]]&gt;150,"Very High")</f>
        <v>High</v>
      </c>
      <c r="I10" s="23">
        <v>3.6</v>
      </c>
      <c r="J10" s="23">
        <f>IF(MONTH('Call Data'!$F10)&lt;=6, YEAR('Call Data'!$F10), YEAR('Call Data'!$F10)+1)</f>
        <v>2023</v>
      </c>
      <c r="K10" s="23" t="str">
        <f>TEXT('Call Data'!$F10,"DDDD")</f>
        <v>Tuesday</v>
      </c>
      <c r="L10" s="23" t="s">
        <v>27</v>
      </c>
      <c r="M10" s="23">
        <f>ROUND('Call Data'!$I10,0)</f>
        <v>4</v>
      </c>
      <c r="R10" s="4"/>
      <c r="S10" s="5"/>
      <c r="T10" s="6"/>
      <c r="U10" s="7"/>
    </row>
    <row r="11" spans="1:21" ht="14.25" customHeight="1" x14ac:dyDescent="0.35">
      <c r="A11" s="23" t="s">
        <v>33</v>
      </c>
      <c r="B11" s="23" t="s">
        <v>34</v>
      </c>
      <c r="C11" s="23">
        <v>44</v>
      </c>
      <c r="D11" s="24" t="str" cm="1">
        <f t="array" ref="D11">_xlfn.IFS(CallData[[#This Row],[Duration]]&lt;=15,"Very short",CallData[[#This Row],[Duration]]&lt;=30,"Short",CallData[[#This Row],[Duration]]&lt;=60,"Medium",CallData[[#This Row],[Duration]]&gt;60,"Long")</f>
        <v>Medium</v>
      </c>
      <c r="E11" s="24" t="s">
        <v>35</v>
      </c>
      <c r="F11" s="25">
        <v>44929</v>
      </c>
      <c r="G11" s="26">
        <v>105</v>
      </c>
      <c r="H11" s="26" t="str" cm="1">
        <f t="array" ref="H11">_xlfn.IFS(CallData[[#This Row],[Purchase Amount]]&lt;=50,"Low",CallData[[#This Row],[Purchase Amount]]&lt;=100,"Medium",CallData[[#This Row],[Purchase Amount]]&lt;=150,"High",CallData[[#This Row],[Purchase Amount]]&gt;150,"Very High")</f>
        <v>High</v>
      </c>
      <c r="I11" s="23">
        <v>2.9</v>
      </c>
      <c r="J11" s="23">
        <f>IF(MONTH('Call Data'!$F11)&lt;=6, YEAR('Call Data'!$F11), YEAR('Call Data'!$F11)+1)</f>
        <v>2023</v>
      </c>
      <c r="K11" s="23" t="str">
        <f>TEXT('Call Data'!$F11,"DDDD")</f>
        <v>Tuesday</v>
      </c>
      <c r="L11" s="23" t="s">
        <v>27</v>
      </c>
      <c r="M11" s="23">
        <f>ROUND('Call Data'!$I11,0)</f>
        <v>3</v>
      </c>
      <c r="R11" s="4"/>
      <c r="S11" s="5"/>
      <c r="T11" s="6"/>
      <c r="U11" s="7"/>
    </row>
    <row r="12" spans="1:21" ht="14.25" customHeight="1" x14ac:dyDescent="0.35">
      <c r="A12" s="23" t="s">
        <v>36</v>
      </c>
      <c r="B12" s="23" t="s">
        <v>23</v>
      </c>
      <c r="C12" s="23">
        <v>102</v>
      </c>
      <c r="D12" s="24" t="str" cm="1">
        <f t="array" ref="D12">_xlfn.IFS(CallData[[#This Row],[Duration]]&lt;=15,"Very short",CallData[[#This Row],[Duration]]&lt;=30,"Short",CallData[[#This Row],[Duration]]&lt;=60,"Medium",CallData[[#This Row],[Duration]]&gt;60,"Long")</f>
        <v>Long</v>
      </c>
      <c r="E12" s="24" t="s">
        <v>19</v>
      </c>
      <c r="F12" s="28">
        <v>44929</v>
      </c>
      <c r="G12" s="26">
        <v>69</v>
      </c>
      <c r="H12" s="26" t="str" cm="1">
        <f t="array" ref="H12">_xlfn.IFS(CallData[[#This Row],[Purchase Amount]]&lt;=50,"Low",CallData[[#This Row],[Purchase Amount]]&lt;=100,"Medium",CallData[[#This Row],[Purchase Amount]]&lt;=150,"High",CallData[[#This Row],[Purchase Amount]]&gt;150,"Very High")</f>
        <v>Medium</v>
      </c>
      <c r="I12" s="23">
        <v>4.9000000000000004</v>
      </c>
      <c r="J12" s="23">
        <f>IF(MONTH('Call Data'!$F12)&lt;=6, YEAR('Call Data'!$F12), YEAR('Call Data'!$F12)+1)</f>
        <v>2023</v>
      </c>
      <c r="K12" s="23" t="str">
        <f>TEXT('Call Data'!$F12,"DDDD")</f>
        <v>Tuesday</v>
      </c>
      <c r="L12" s="23" t="s">
        <v>14</v>
      </c>
      <c r="M12" s="23">
        <f>ROUND('Call Data'!$I12,0)</f>
        <v>5</v>
      </c>
      <c r="R12" s="4"/>
      <c r="S12" s="5"/>
      <c r="T12" s="6"/>
      <c r="U12" s="7"/>
    </row>
    <row r="13" spans="1:21" ht="14.25" customHeight="1" x14ac:dyDescent="0.35">
      <c r="A13" s="23" t="s">
        <v>37</v>
      </c>
      <c r="B13" s="23" t="s">
        <v>38</v>
      </c>
      <c r="C13" s="23">
        <v>135</v>
      </c>
      <c r="D13" s="24" t="str" cm="1">
        <f t="array" ref="D13">_xlfn.IFS(CallData[[#This Row],[Duration]]&lt;=15,"Very short",CallData[[#This Row],[Duration]]&lt;=30,"Short",CallData[[#This Row],[Duration]]&lt;=60,"Medium",CallData[[#This Row],[Duration]]&gt;60,"Long")</f>
        <v>Long</v>
      </c>
      <c r="E13" s="24" t="s">
        <v>13</v>
      </c>
      <c r="F13" s="25">
        <v>44929</v>
      </c>
      <c r="G13" s="26">
        <v>46</v>
      </c>
      <c r="H13" s="26" t="str" cm="1">
        <f t="array" ref="H13">_xlfn.IFS(CallData[[#This Row],[Purchase Amount]]&lt;=50,"Low",CallData[[#This Row],[Purchase Amount]]&lt;=100,"Medium",CallData[[#This Row],[Purchase Amount]]&lt;=150,"High",CallData[[#This Row],[Purchase Amount]]&gt;150,"Very High")</f>
        <v>Low</v>
      </c>
      <c r="I13" s="23">
        <v>3.4</v>
      </c>
      <c r="J13" s="23">
        <f>IF(MONTH('Call Data'!$F13)&lt;=6, YEAR('Call Data'!$F13), YEAR('Call Data'!$F13)+1)</f>
        <v>2023</v>
      </c>
      <c r="K13" s="23" t="str">
        <f>TEXT('Call Data'!$F13,"DDDD")</f>
        <v>Tuesday</v>
      </c>
      <c r="L13" s="23" t="s">
        <v>25</v>
      </c>
      <c r="M13" s="23">
        <f>ROUND('Call Data'!$I13,0)</f>
        <v>3</v>
      </c>
      <c r="R13" s="4"/>
      <c r="S13" s="5"/>
      <c r="T13" s="6"/>
      <c r="U13" s="7"/>
    </row>
    <row r="14" spans="1:21" ht="14.25" customHeight="1" x14ac:dyDescent="0.35">
      <c r="A14" s="23" t="s">
        <v>39</v>
      </c>
      <c r="B14" s="23" t="s">
        <v>40</v>
      </c>
      <c r="C14" s="23">
        <v>98</v>
      </c>
      <c r="D14" s="24" t="str" cm="1">
        <f t="array" ref="D14">_xlfn.IFS(CallData[[#This Row],[Duration]]&lt;=15,"Very short",CallData[[#This Row],[Duration]]&lt;=30,"Short",CallData[[#This Row],[Duration]]&lt;=60,"Medium",CallData[[#This Row],[Duration]]&gt;60,"Long")</f>
        <v>Long</v>
      </c>
      <c r="E14" s="24" t="s">
        <v>19</v>
      </c>
      <c r="F14" s="25">
        <v>44930</v>
      </c>
      <c r="G14" s="26">
        <v>108</v>
      </c>
      <c r="H14" s="26" t="str" cm="1">
        <f t="array" ref="H14">_xlfn.IFS(CallData[[#This Row],[Purchase Amount]]&lt;=50,"Low",CallData[[#This Row],[Purchase Amount]]&lt;=100,"Medium",CallData[[#This Row],[Purchase Amount]]&lt;=150,"High",CallData[[#This Row],[Purchase Amount]]&gt;150,"Very High")</f>
        <v>High</v>
      </c>
      <c r="I14" s="23">
        <v>3.5</v>
      </c>
      <c r="J14" s="23">
        <f>IF(MONTH('Call Data'!$F14)&lt;=6, YEAR('Call Data'!$F14), YEAR('Call Data'!$F14)+1)</f>
        <v>2023</v>
      </c>
      <c r="K14" s="23" t="str">
        <f>TEXT('Call Data'!$F14,"DDDD")</f>
        <v>Wednesday</v>
      </c>
      <c r="L14" s="23" t="s">
        <v>14</v>
      </c>
      <c r="M14" s="23">
        <f>ROUND('Call Data'!$I14,0)</f>
        <v>4</v>
      </c>
      <c r="R14" s="4"/>
      <c r="S14" s="5"/>
      <c r="T14" s="6"/>
      <c r="U14" s="7"/>
    </row>
    <row r="15" spans="1:21" ht="14.25" customHeight="1" x14ac:dyDescent="0.35">
      <c r="A15" s="23" t="s">
        <v>41</v>
      </c>
      <c r="B15" s="23" t="s">
        <v>34</v>
      </c>
      <c r="C15" s="23">
        <v>139</v>
      </c>
      <c r="D15" s="24" t="str" cm="1">
        <f t="array" ref="D15">_xlfn.IFS(CallData[[#This Row],[Duration]]&lt;=15,"Very short",CallData[[#This Row],[Duration]]&lt;=30,"Short",CallData[[#This Row],[Duration]]&lt;=60,"Medium",CallData[[#This Row],[Duration]]&gt;60,"Long")</f>
        <v>Long</v>
      </c>
      <c r="E15" s="24" t="s">
        <v>19</v>
      </c>
      <c r="F15" s="25">
        <v>44930</v>
      </c>
      <c r="G15" s="26">
        <v>96</v>
      </c>
      <c r="H15" s="26" t="str" cm="1">
        <f t="array" ref="H15">_xlfn.IFS(CallData[[#This Row],[Purchase Amount]]&lt;=50,"Low",CallData[[#This Row],[Purchase Amount]]&lt;=100,"Medium",CallData[[#This Row],[Purchase Amount]]&lt;=150,"High",CallData[[#This Row],[Purchase Amount]]&gt;150,"Very High")</f>
        <v>Medium</v>
      </c>
      <c r="I15" s="23">
        <v>4</v>
      </c>
      <c r="J15" s="23">
        <f>IF(MONTH('Call Data'!$F15)&lt;=6, YEAR('Call Data'!$F15), YEAR('Call Data'!$F15)+1)</f>
        <v>2023</v>
      </c>
      <c r="K15" s="23" t="str">
        <f>TEXT('Call Data'!$F15,"DDDD")</f>
        <v>Wednesday</v>
      </c>
      <c r="L15" s="23" t="s">
        <v>25</v>
      </c>
      <c r="M15" s="23">
        <f>ROUND('Call Data'!$I15,0)</f>
        <v>4</v>
      </c>
      <c r="R15" s="4"/>
      <c r="S15" s="5"/>
      <c r="T15" s="6"/>
      <c r="U15" s="7"/>
    </row>
    <row r="16" spans="1:21" ht="14.25" customHeight="1" x14ac:dyDescent="0.35">
      <c r="A16" s="23" t="s">
        <v>42</v>
      </c>
      <c r="B16" s="23" t="s">
        <v>38</v>
      </c>
      <c r="C16" s="23">
        <v>48</v>
      </c>
      <c r="D16" s="24" t="str" cm="1">
        <f t="array" ref="D16">_xlfn.IFS(CallData[[#This Row],[Duration]]&lt;=15,"Very short",CallData[[#This Row],[Duration]]&lt;=30,"Short",CallData[[#This Row],[Duration]]&lt;=60,"Medium",CallData[[#This Row],[Duration]]&gt;60,"Long")</f>
        <v>Medium</v>
      </c>
      <c r="E16" s="24" t="s">
        <v>24</v>
      </c>
      <c r="F16" s="25">
        <v>44930</v>
      </c>
      <c r="G16" s="26">
        <v>68</v>
      </c>
      <c r="H16" s="26" t="str" cm="1">
        <f t="array" ref="H16">_xlfn.IFS(CallData[[#This Row],[Purchase Amount]]&lt;=50,"Low",CallData[[#This Row],[Purchase Amount]]&lt;=100,"Medium",CallData[[#This Row],[Purchase Amount]]&lt;=150,"High",CallData[[#This Row],[Purchase Amount]]&gt;150,"Very High")</f>
        <v>Medium</v>
      </c>
      <c r="I16" s="23">
        <v>4.9000000000000004</v>
      </c>
      <c r="J16" s="23">
        <f>IF(MONTH('Call Data'!$F16)&lt;=6, YEAR('Call Data'!$F16), YEAR('Call Data'!$F16)+1)</f>
        <v>2023</v>
      </c>
      <c r="K16" s="23" t="str">
        <f>TEXT('Call Data'!$F16,"DDDD")</f>
        <v>Wednesday</v>
      </c>
      <c r="L16" s="23" t="s">
        <v>27</v>
      </c>
      <c r="M16" s="23">
        <f>ROUND('Call Data'!$I16,0)</f>
        <v>5</v>
      </c>
      <c r="R16" s="8"/>
      <c r="S16" s="9"/>
      <c r="T16" s="10"/>
      <c r="U16" s="11"/>
    </row>
    <row r="17" spans="1:13" ht="14.25" customHeight="1" x14ac:dyDescent="0.35">
      <c r="A17" s="23" t="s">
        <v>43</v>
      </c>
      <c r="B17" s="23" t="s">
        <v>34</v>
      </c>
      <c r="C17" s="23">
        <v>176</v>
      </c>
      <c r="D17" s="24" t="str" cm="1">
        <f t="array" ref="D17">_xlfn.IFS(CallData[[#This Row],[Duration]]&lt;=15,"Very short",CallData[[#This Row],[Duration]]&lt;=30,"Short",CallData[[#This Row],[Duration]]&lt;=60,"Medium",CallData[[#This Row],[Duration]]&gt;60,"Long")</f>
        <v>Long</v>
      </c>
      <c r="E17" s="24" t="s">
        <v>13</v>
      </c>
      <c r="F17" s="25">
        <v>44931</v>
      </c>
      <c r="G17" s="26">
        <v>24</v>
      </c>
      <c r="H17" s="26" t="str" cm="1">
        <f t="array" ref="H17">_xlfn.IFS(CallData[[#This Row],[Purchase Amount]]&lt;=50,"Low",CallData[[#This Row],[Purchase Amount]]&lt;=100,"Medium",CallData[[#This Row],[Purchase Amount]]&lt;=150,"High",CallData[[#This Row],[Purchase Amount]]&gt;150,"Very High")</f>
        <v>Low</v>
      </c>
      <c r="I17" s="23">
        <v>4.8</v>
      </c>
      <c r="J17" s="23">
        <f>IF(MONTH('Call Data'!$F17)&lt;=6, YEAR('Call Data'!$F17), YEAR('Call Data'!$F17)+1)</f>
        <v>2023</v>
      </c>
      <c r="K17" s="23" t="str">
        <f>TEXT('Call Data'!$F17,"DDDD")</f>
        <v>Thursday</v>
      </c>
      <c r="L17" s="23" t="s">
        <v>25</v>
      </c>
      <c r="M17" s="23">
        <f>ROUND('Call Data'!$I17,0)</f>
        <v>5</v>
      </c>
    </row>
    <row r="18" spans="1:13" ht="14.25" customHeight="1" x14ac:dyDescent="0.35">
      <c r="A18" s="23" t="s">
        <v>44</v>
      </c>
      <c r="B18" s="23" t="s">
        <v>34</v>
      </c>
      <c r="C18" s="23">
        <v>99</v>
      </c>
      <c r="D18" s="24" t="str" cm="1">
        <f t="array" ref="D18">_xlfn.IFS(CallData[[#This Row],[Duration]]&lt;=15,"Very short",CallData[[#This Row],[Duration]]&lt;=30,"Short",CallData[[#This Row],[Duration]]&lt;=60,"Medium",CallData[[#This Row],[Duration]]&gt;60,"Long")</f>
        <v>Long</v>
      </c>
      <c r="E18" s="24" t="s">
        <v>24</v>
      </c>
      <c r="F18" s="25">
        <v>44931</v>
      </c>
      <c r="G18" s="26">
        <v>195</v>
      </c>
      <c r="H18" s="26" t="str" cm="1">
        <f t="array" ref="H18">_xlfn.IFS(CallData[[#This Row],[Purchase Amount]]&lt;=50,"Low",CallData[[#This Row],[Purchase Amount]]&lt;=100,"Medium",CallData[[#This Row],[Purchase Amount]]&lt;=150,"High",CallData[[#This Row],[Purchase Amount]]&gt;150,"Very High")</f>
        <v>Very High</v>
      </c>
      <c r="I18" s="23">
        <v>3.9</v>
      </c>
      <c r="J18" s="23">
        <f>IF(MONTH('Call Data'!$F18)&lt;=6, YEAR('Call Data'!$F18), YEAR('Call Data'!$F18)+1)</f>
        <v>2023</v>
      </c>
      <c r="K18" s="23" t="str">
        <f>TEXT('Call Data'!$F18,"DDDD")</f>
        <v>Thursday</v>
      </c>
      <c r="L18" s="23" t="s">
        <v>14</v>
      </c>
      <c r="M18" s="23">
        <f>ROUND('Call Data'!$I18,0)</f>
        <v>4</v>
      </c>
    </row>
    <row r="19" spans="1:13" ht="14.25" customHeight="1" x14ac:dyDescent="0.35">
      <c r="A19" s="23" t="s">
        <v>45</v>
      </c>
      <c r="B19" s="23" t="s">
        <v>46</v>
      </c>
      <c r="C19" s="23">
        <v>28</v>
      </c>
      <c r="D19" s="24" t="str" cm="1">
        <f t="array" ref="D19">_xlfn.IFS(CallData[[#This Row],[Duration]]&lt;=15,"Very short",CallData[[#This Row],[Duration]]&lt;=30,"Short",CallData[[#This Row],[Duration]]&lt;=60,"Medium",CallData[[#This Row],[Duration]]&gt;60,"Long")</f>
        <v>Short</v>
      </c>
      <c r="E19" s="24" t="s">
        <v>35</v>
      </c>
      <c r="F19" s="25">
        <v>44931</v>
      </c>
      <c r="G19" s="26">
        <v>28</v>
      </c>
      <c r="H19" s="26" t="str" cm="1">
        <f t="array" ref="H19">_xlfn.IFS(CallData[[#This Row],[Purchase Amount]]&lt;=50,"Low",CallData[[#This Row],[Purchase Amount]]&lt;=100,"Medium",CallData[[#This Row],[Purchase Amount]]&lt;=150,"High",CallData[[#This Row],[Purchase Amount]]&gt;150,"Very High")</f>
        <v>Low</v>
      </c>
      <c r="I19" s="23">
        <v>3.8</v>
      </c>
      <c r="J19" s="23">
        <f>IF(MONTH('Call Data'!$F19)&lt;=6, YEAR('Call Data'!$F19), YEAR('Call Data'!$F19)+1)</f>
        <v>2023</v>
      </c>
      <c r="K19" s="23" t="str">
        <f>TEXT('Call Data'!$F19,"DDDD")</f>
        <v>Thursday</v>
      </c>
      <c r="L19" s="23" t="s">
        <v>47</v>
      </c>
      <c r="M19" s="23">
        <f>ROUND('Call Data'!$I19,0)</f>
        <v>4</v>
      </c>
    </row>
    <row r="20" spans="1:13" ht="14.25" customHeight="1" x14ac:dyDescent="0.35">
      <c r="A20" s="23" t="s">
        <v>48</v>
      </c>
      <c r="B20" s="23" t="s">
        <v>29</v>
      </c>
      <c r="C20" s="23">
        <v>54</v>
      </c>
      <c r="D20" s="24" t="str" cm="1">
        <f t="array" ref="D20">_xlfn.IFS(CallData[[#This Row],[Duration]]&lt;=15,"Very short",CallData[[#This Row],[Duration]]&lt;=30,"Short",CallData[[#This Row],[Duration]]&lt;=60,"Medium",CallData[[#This Row],[Duration]]&gt;60,"Long")</f>
        <v>Medium</v>
      </c>
      <c r="E20" s="24" t="s">
        <v>19</v>
      </c>
      <c r="F20" s="25">
        <v>44931</v>
      </c>
      <c r="G20" s="26">
        <v>170</v>
      </c>
      <c r="H20" s="26" t="str" cm="1">
        <f t="array" ref="H20">_xlfn.IFS(CallData[[#This Row],[Purchase Amount]]&lt;=50,"Low",CallData[[#This Row],[Purchase Amount]]&lt;=100,"Medium",CallData[[#This Row],[Purchase Amount]]&lt;=150,"High",CallData[[#This Row],[Purchase Amount]]&gt;150,"Very High")</f>
        <v>Very High</v>
      </c>
      <c r="I20" s="23">
        <v>4.3</v>
      </c>
      <c r="J20" s="23">
        <f>IF(MONTH('Call Data'!$F20)&lt;=6, YEAR('Call Data'!$F20), YEAR('Call Data'!$F20)+1)</f>
        <v>2023</v>
      </c>
      <c r="K20" s="23" t="str">
        <f>TEXT('Call Data'!$F20,"DDDD")</f>
        <v>Thursday</v>
      </c>
      <c r="L20" s="23" t="s">
        <v>27</v>
      </c>
      <c r="M20" s="23">
        <f>ROUND('Call Data'!$I20,0)</f>
        <v>4</v>
      </c>
    </row>
    <row r="21" spans="1:13" ht="14.25" customHeight="1" x14ac:dyDescent="0.35">
      <c r="A21" s="23" t="s">
        <v>49</v>
      </c>
      <c r="B21" s="23" t="s">
        <v>50</v>
      </c>
      <c r="C21" s="23">
        <v>48</v>
      </c>
      <c r="D21" s="24" t="str" cm="1">
        <f t="array" ref="D21">_xlfn.IFS(CallData[[#This Row],[Duration]]&lt;=15,"Very short",CallData[[#This Row],[Duration]]&lt;=30,"Short",CallData[[#This Row],[Duration]]&lt;=60,"Medium",CallData[[#This Row],[Duration]]&gt;60,"Long")</f>
        <v>Medium</v>
      </c>
      <c r="E21" s="24" t="s">
        <v>13</v>
      </c>
      <c r="F21" s="25">
        <v>44932</v>
      </c>
      <c r="G21" s="26">
        <v>30</v>
      </c>
      <c r="H21" s="26" t="str" cm="1">
        <f t="array" ref="H21">_xlfn.IFS(CallData[[#This Row],[Purchase Amount]]&lt;=50,"Low",CallData[[#This Row],[Purchase Amount]]&lt;=100,"Medium",CallData[[#This Row],[Purchase Amount]]&lt;=150,"High",CallData[[#This Row],[Purchase Amount]]&gt;150,"Very High")</f>
        <v>Low</v>
      </c>
      <c r="I21" s="23">
        <v>4.4000000000000004</v>
      </c>
      <c r="J21" s="23">
        <f>IF(MONTH('Call Data'!$F21)&lt;=6, YEAR('Call Data'!$F21), YEAR('Call Data'!$F21)+1)</f>
        <v>2023</v>
      </c>
      <c r="K21" s="23" t="str">
        <f>TEXT('Call Data'!$F21,"DDDD")</f>
        <v>Friday</v>
      </c>
      <c r="L21" s="23" t="s">
        <v>27</v>
      </c>
      <c r="M21" s="23">
        <f>ROUND('Call Data'!$I21,0)</f>
        <v>4</v>
      </c>
    </row>
    <row r="22" spans="1:13" ht="14.25" customHeight="1" x14ac:dyDescent="0.35">
      <c r="A22" s="23" t="s">
        <v>51</v>
      </c>
      <c r="B22" s="23" t="s">
        <v>16</v>
      </c>
      <c r="C22" s="23">
        <v>128</v>
      </c>
      <c r="D22" s="24" t="str" cm="1">
        <f t="array" ref="D22">_xlfn.IFS(CallData[[#This Row],[Duration]]&lt;=15,"Very short",CallData[[#This Row],[Duration]]&lt;=30,"Short",CallData[[#This Row],[Duration]]&lt;=60,"Medium",CallData[[#This Row],[Duration]]&gt;60,"Long")</f>
        <v>Long</v>
      </c>
      <c r="E22" s="24" t="s">
        <v>13</v>
      </c>
      <c r="F22" s="25">
        <v>44932</v>
      </c>
      <c r="G22" s="26">
        <v>72</v>
      </c>
      <c r="H22" s="26" t="str" cm="1">
        <f t="array" ref="H22">_xlfn.IFS(CallData[[#This Row],[Purchase Amount]]&lt;=50,"Low",CallData[[#This Row],[Purchase Amount]]&lt;=100,"Medium",CallData[[#This Row],[Purchase Amount]]&lt;=150,"High",CallData[[#This Row],[Purchase Amount]]&gt;150,"Very High")</f>
        <v>Medium</v>
      </c>
      <c r="I22" s="23">
        <v>5</v>
      </c>
      <c r="J22" s="23">
        <f>IF(MONTH('Call Data'!$F22)&lt;=6, YEAR('Call Data'!$F22), YEAR('Call Data'!$F22)+1)</f>
        <v>2023</v>
      </c>
      <c r="K22" s="23" t="str">
        <f>TEXT('Call Data'!$F22,"DDDD")</f>
        <v>Friday</v>
      </c>
      <c r="L22" s="23" t="s">
        <v>25</v>
      </c>
      <c r="M22" s="23">
        <f>ROUND('Call Data'!$I22,0)</f>
        <v>5</v>
      </c>
    </row>
    <row r="23" spans="1:13" ht="14.25" customHeight="1" x14ac:dyDescent="0.35">
      <c r="A23" s="23" t="s">
        <v>52</v>
      </c>
      <c r="B23" s="23" t="s">
        <v>16</v>
      </c>
      <c r="C23" s="23">
        <v>38</v>
      </c>
      <c r="D23" s="24" t="str" cm="1">
        <f t="array" ref="D23">_xlfn.IFS(CallData[[#This Row],[Duration]]&lt;=15,"Very short",CallData[[#This Row],[Duration]]&lt;=30,"Short",CallData[[#This Row],[Duration]]&lt;=60,"Medium",CallData[[#This Row],[Duration]]&gt;60,"Long")</f>
        <v>Medium</v>
      </c>
      <c r="E23" s="24" t="s">
        <v>31</v>
      </c>
      <c r="F23" s="25">
        <v>44933</v>
      </c>
      <c r="G23" s="26">
        <v>92</v>
      </c>
      <c r="H23" s="26" t="str" cm="1">
        <f t="array" ref="H23">_xlfn.IFS(CallData[[#This Row],[Purchase Amount]]&lt;=50,"Low",CallData[[#This Row],[Purchase Amount]]&lt;=100,"Medium",CallData[[#This Row],[Purchase Amount]]&lt;=150,"High",CallData[[#This Row],[Purchase Amount]]&gt;150,"Very High")</f>
        <v>Medium</v>
      </c>
      <c r="I23" s="23">
        <v>4.9000000000000004</v>
      </c>
      <c r="J23" s="23">
        <f>IF(MONTH('Call Data'!$F23)&lt;=6, YEAR('Call Data'!$F23), YEAR('Call Data'!$F23)+1)</f>
        <v>2023</v>
      </c>
      <c r="K23" s="23" t="str">
        <f>TEXT('Call Data'!$F23,"DDDD")</f>
        <v>Saturday</v>
      </c>
      <c r="L23" s="23" t="s">
        <v>27</v>
      </c>
      <c r="M23" s="23">
        <f>ROUND('Call Data'!$I23,0)</f>
        <v>5</v>
      </c>
    </row>
    <row r="24" spans="1:13" ht="14.25" customHeight="1" x14ac:dyDescent="0.35">
      <c r="A24" s="23" t="s">
        <v>53</v>
      </c>
      <c r="B24" s="23" t="s">
        <v>12</v>
      </c>
      <c r="C24" s="23">
        <v>67</v>
      </c>
      <c r="D24" s="24" t="str" cm="1">
        <f t="array" ref="D24">_xlfn.IFS(CallData[[#This Row],[Duration]]&lt;=15,"Very short",CallData[[#This Row],[Duration]]&lt;=30,"Short",CallData[[#This Row],[Duration]]&lt;=60,"Medium",CallData[[#This Row],[Duration]]&gt;60,"Long")</f>
        <v>Long</v>
      </c>
      <c r="E24" s="24" t="s">
        <v>31</v>
      </c>
      <c r="F24" s="25">
        <v>44934</v>
      </c>
      <c r="G24" s="26">
        <v>165</v>
      </c>
      <c r="H24" s="26" t="str" cm="1">
        <f t="array" ref="H24">_xlfn.IFS(CallData[[#This Row],[Purchase Amount]]&lt;=50,"Low",CallData[[#This Row],[Purchase Amount]]&lt;=100,"Medium",CallData[[#This Row],[Purchase Amount]]&lt;=150,"High",CallData[[#This Row],[Purchase Amount]]&gt;150,"Very High")</f>
        <v>Very High</v>
      </c>
      <c r="I24" s="23">
        <v>4.5</v>
      </c>
      <c r="J24" s="23">
        <f>IF(MONTH('Call Data'!$F24)&lt;=6, YEAR('Call Data'!$F24), YEAR('Call Data'!$F24)+1)</f>
        <v>2023</v>
      </c>
      <c r="K24" s="23" t="str">
        <f>TEXT('Call Data'!$F24,"DDDD")</f>
        <v>Sunday</v>
      </c>
      <c r="L24" s="23" t="s">
        <v>14</v>
      </c>
      <c r="M24" s="23">
        <f>ROUND('Call Data'!$I24,0)</f>
        <v>5</v>
      </c>
    </row>
    <row r="25" spans="1:13" ht="14.25" customHeight="1" x14ac:dyDescent="0.35">
      <c r="A25" s="23" t="s">
        <v>54</v>
      </c>
      <c r="B25" s="23" t="s">
        <v>55</v>
      </c>
      <c r="C25" s="23">
        <v>58</v>
      </c>
      <c r="D25" s="24" t="str" cm="1">
        <f t="array" ref="D25">_xlfn.IFS(CallData[[#This Row],[Duration]]&lt;=15,"Very short",CallData[[#This Row],[Duration]]&lt;=30,"Short",CallData[[#This Row],[Duration]]&lt;=60,"Medium",CallData[[#This Row],[Duration]]&gt;60,"Long")</f>
        <v>Medium</v>
      </c>
      <c r="E25" s="24" t="s">
        <v>19</v>
      </c>
      <c r="F25" s="25">
        <v>44934</v>
      </c>
      <c r="G25" s="26">
        <v>140</v>
      </c>
      <c r="H25" s="26" t="str" cm="1">
        <f t="array" ref="H25">_xlfn.IFS(CallData[[#This Row],[Purchase Amount]]&lt;=50,"Low",CallData[[#This Row],[Purchase Amount]]&lt;=100,"Medium",CallData[[#This Row],[Purchase Amount]]&lt;=150,"High",CallData[[#This Row],[Purchase Amount]]&gt;150,"Very High")</f>
        <v>High</v>
      </c>
      <c r="I25" s="23">
        <v>2.1</v>
      </c>
      <c r="J25" s="23">
        <f>IF(MONTH('Call Data'!$F25)&lt;=6, YEAR('Call Data'!$F25), YEAR('Call Data'!$F25)+1)</f>
        <v>2023</v>
      </c>
      <c r="K25" s="23" t="str">
        <f>TEXT('Call Data'!$F25,"DDDD")</f>
        <v>Sunday</v>
      </c>
      <c r="L25" s="23" t="s">
        <v>27</v>
      </c>
      <c r="M25" s="23">
        <f>ROUND('Call Data'!$I25,0)</f>
        <v>2</v>
      </c>
    </row>
    <row r="26" spans="1:13" ht="14.25" customHeight="1" x14ac:dyDescent="0.35">
      <c r="A26" s="23" t="s">
        <v>56</v>
      </c>
      <c r="B26" s="23" t="s">
        <v>34</v>
      </c>
      <c r="C26" s="23">
        <v>54</v>
      </c>
      <c r="D26" s="24" t="str" cm="1">
        <f t="array" ref="D26">_xlfn.IFS(CallData[[#This Row],[Duration]]&lt;=15,"Very short",CallData[[#This Row],[Duration]]&lt;=30,"Short",CallData[[#This Row],[Duration]]&lt;=60,"Medium",CallData[[#This Row],[Duration]]&gt;60,"Long")</f>
        <v>Medium</v>
      </c>
      <c r="E26" s="24" t="s">
        <v>24</v>
      </c>
      <c r="F26" s="25">
        <v>44934</v>
      </c>
      <c r="G26" s="26">
        <v>111</v>
      </c>
      <c r="H26" s="26" t="str" cm="1">
        <f t="array" ref="H26">_xlfn.IFS(CallData[[#This Row],[Purchase Amount]]&lt;=50,"Low",CallData[[#This Row],[Purchase Amount]]&lt;=100,"Medium",CallData[[#This Row],[Purchase Amount]]&lt;=150,"High",CallData[[#This Row],[Purchase Amount]]&gt;150,"Very High")</f>
        <v>High</v>
      </c>
      <c r="I26" s="23">
        <v>3.3</v>
      </c>
      <c r="J26" s="23">
        <f>IF(MONTH('Call Data'!$F26)&lt;=6, YEAR('Call Data'!$F26), YEAR('Call Data'!$F26)+1)</f>
        <v>2023</v>
      </c>
      <c r="K26" s="23" t="str">
        <f>TEXT('Call Data'!$F26,"DDDD")</f>
        <v>Sunday</v>
      </c>
      <c r="L26" s="23" t="s">
        <v>27</v>
      </c>
      <c r="M26" s="23">
        <f>ROUND('Call Data'!$I26,0)</f>
        <v>3</v>
      </c>
    </row>
    <row r="27" spans="1:13" ht="14.25" customHeight="1" x14ac:dyDescent="0.35">
      <c r="A27" s="23" t="s">
        <v>57</v>
      </c>
      <c r="B27" s="23" t="s">
        <v>58</v>
      </c>
      <c r="C27" s="23">
        <v>28</v>
      </c>
      <c r="D27" s="24" t="str" cm="1">
        <f t="array" ref="D27">_xlfn.IFS(CallData[[#This Row],[Duration]]&lt;=15,"Very short",CallData[[#This Row],[Duration]]&lt;=30,"Short",CallData[[#This Row],[Duration]]&lt;=60,"Medium",CallData[[#This Row],[Duration]]&gt;60,"Long")</f>
        <v>Short</v>
      </c>
      <c r="E27" s="24" t="s">
        <v>13</v>
      </c>
      <c r="F27" s="25">
        <v>44935</v>
      </c>
      <c r="G27" s="26">
        <v>63</v>
      </c>
      <c r="H27" s="26" t="str" cm="1">
        <f t="array" ref="H27">_xlfn.IFS(CallData[[#This Row],[Purchase Amount]]&lt;=50,"Low",CallData[[#This Row],[Purchase Amount]]&lt;=100,"Medium",CallData[[#This Row],[Purchase Amount]]&lt;=150,"High",CallData[[#This Row],[Purchase Amount]]&gt;150,"Very High")</f>
        <v>Medium</v>
      </c>
      <c r="I27" s="23">
        <v>4.0999999999999996</v>
      </c>
      <c r="J27" s="23">
        <f>IF(MONTH('Call Data'!$F27)&lt;=6, YEAR('Call Data'!$F27), YEAR('Call Data'!$F27)+1)</f>
        <v>2023</v>
      </c>
      <c r="K27" s="23" t="str">
        <f>TEXT('Call Data'!$F27,"DDDD")</f>
        <v>Monday</v>
      </c>
      <c r="L27" s="23" t="s">
        <v>47</v>
      </c>
      <c r="M27" s="23">
        <f>ROUND('Call Data'!$I27,0)</f>
        <v>4</v>
      </c>
    </row>
    <row r="28" spans="1:13" ht="14.25" customHeight="1" x14ac:dyDescent="0.35">
      <c r="A28" s="23" t="s">
        <v>59</v>
      </c>
      <c r="B28" s="23" t="s">
        <v>40</v>
      </c>
      <c r="C28" s="23">
        <v>73</v>
      </c>
      <c r="D28" s="24" t="str" cm="1">
        <f t="array" ref="D28">_xlfn.IFS(CallData[[#This Row],[Duration]]&lt;=15,"Very short",CallData[[#This Row],[Duration]]&lt;=30,"Short",CallData[[#This Row],[Duration]]&lt;=60,"Medium",CallData[[#This Row],[Duration]]&gt;60,"Long")</f>
        <v>Long</v>
      </c>
      <c r="E28" s="24" t="s">
        <v>13</v>
      </c>
      <c r="F28" s="25">
        <v>44935</v>
      </c>
      <c r="G28" s="26">
        <v>80</v>
      </c>
      <c r="H28" s="26" t="str" cm="1">
        <f t="array" ref="H28">_xlfn.IFS(CallData[[#This Row],[Purchase Amount]]&lt;=50,"Low",CallData[[#This Row],[Purchase Amount]]&lt;=100,"Medium",CallData[[#This Row],[Purchase Amount]]&lt;=150,"High",CallData[[#This Row],[Purchase Amount]]&gt;150,"Very High")</f>
        <v>Medium</v>
      </c>
      <c r="I28" s="23">
        <v>4.2</v>
      </c>
      <c r="J28" s="23">
        <f>IF(MONTH('Call Data'!$F28)&lt;=6, YEAR('Call Data'!$F28), YEAR('Call Data'!$F28)+1)</f>
        <v>2023</v>
      </c>
      <c r="K28" s="23" t="str">
        <f>TEXT('Call Data'!$F28,"DDDD")</f>
        <v>Monday</v>
      </c>
      <c r="L28" s="23" t="s">
        <v>14</v>
      </c>
      <c r="M28" s="23">
        <f>ROUND('Call Data'!$I28,0)</f>
        <v>4</v>
      </c>
    </row>
    <row r="29" spans="1:13" ht="14.25" customHeight="1" x14ac:dyDescent="0.35">
      <c r="A29" s="23" t="s">
        <v>60</v>
      </c>
      <c r="B29" s="23" t="s">
        <v>23</v>
      </c>
      <c r="C29" s="23">
        <v>81</v>
      </c>
      <c r="D29" s="24" t="str" cm="1">
        <f t="array" ref="D29">_xlfn.IFS(CallData[[#This Row],[Duration]]&lt;=15,"Very short",CallData[[#This Row],[Duration]]&lt;=30,"Short",CallData[[#This Row],[Duration]]&lt;=60,"Medium",CallData[[#This Row],[Duration]]&gt;60,"Long")</f>
        <v>Long</v>
      </c>
      <c r="E29" s="24" t="s">
        <v>13</v>
      </c>
      <c r="F29" s="25">
        <v>44936</v>
      </c>
      <c r="G29" s="26">
        <v>50</v>
      </c>
      <c r="H29" s="26" t="str" cm="1">
        <f t="array" ref="H29">_xlfn.IFS(CallData[[#This Row],[Purchase Amount]]&lt;=50,"Low",CallData[[#This Row],[Purchase Amount]]&lt;=100,"Medium",CallData[[#This Row],[Purchase Amount]]&lt;=150,"High",CallData[[#This Row],[Purchase Amount]]&gt;150,"Very High")</f>
        <v>Low</v>
      </c>
      <c r="I29" s="23">
        <v>4.5999999999999996</v>
      </c>
      <c r="J29" s="23">
        <f>IF(MONTH('Call Data'!$F29)&lt;=6, YEAR('Call Data'!$F29), YEAR('Call Data'!$F29)+1)</f>
        <v>2023</v>
      </c>
      <c r="K29" s="23" t="str">
        <f>TEXT('Call Data'!$F29,"DDDD")</f>
        <v>Tuesday</v>
      </c>
      <c r="L29" s="23" t="s">
        <v>14</v>
      </c>
      <c r="M29" s="23">
        <f>ROUND('Call Data'!$I29,0)</f>
        <v>5</v>
      </c>
    </row>
    <row r="30" spans="1:13" ht="14.25" customHeight="1" x14ac:dyDescent="0.35">
      <c r="A30" s="23" t="s">
        <v>61</v>
      </c>
      <c r="B30" s="23" t="s">
        <v>46</v>
      </c>
      <c r="C30" s="23">
        <v>31</v>
      </c>
      <c r="D30" s="24" t="str" cm="1">
        <f t="array" ref="D30">_xlfn.IFS(CallData[[#This Row],[Duration]]&lt;=15,"Very short",CallData[[#This Row],[Duration]]&lt;=30,"Short",CallData[[#This Row],[Duration]]&lt;=60,"Medium",CallData[[#This Row],[Duration]]&gt;60,"Long")</f>
        <v>Medium</v>
      </c>
      <c r="E30" s="24" t="s">
        <v>31</v>
      </c>
      <c r="F30" s="25">
        <v>44936</v>
      </c>
      <c r="G30" s="26">
        <v>123</v>
      </c>
      <c r="H30" s="26" t="str" cm="1">
        <f t="array" ref="H30">_xlfn.IFS(CallData[[#This Row],[Purchase Amount]]&lt;=50,"Low",CallData[[#This Row],[Purchase Amount]]&lt;=100,"Medium",CallData[[#This Row],[Purchase Amount]]&lt;=150,"High",CallData[[#This Row],[Purchase Amount]]&gt;150,"Very High")</f>
        <v>High</v>
      </c>
      <c r="I30" s="23">
        <v>2.9</v>
      </c>
      <c r="J30" s="23">
        <f>IF(MONTH('Call Data'!$F30)&lt;=6, YEAR('Call Data'!$F30), YEAR('Call Data'!$F30)+1)</f>
        <v>2023</v>
      </c>
      <c r="K30" s="23" t="str">
        <f>TEXT('Call Data'!$F30,"DDDD")</f>
        <v>Tuesday</v>
      </c>
      <c r="L30" s="23" t="s">
        <v>27</v>
      </c>
      <c r="M30" s="23">
        <f>ROUND('Call Data'!$I30,0)</f>
        <v>3</v>
      </c>
    </row>
    <row r="31" spans="1:13" ht="14.25" customHeight="1" x14ac:dyDescent="0.35">
      <c r="A31" s="23" t="s">
        <v>62</v>
      </c>
      <c r="B31" s="23" t="s">
        <v>55</v>
      </c>
      <c r="C31" s="23">
        <v>155</v>
      </c>
      <c r="D31" s="24" t="str" cm="1">
        <f t="array" ref="D31">_xlfn.IFS(CallData[[#This Row],[Duration]]&lt;=15,"Very short",CallData[[#This Row],[Duration]]&lt;=30,"Short",CallData[[#This Row],[Duration]]&lt;=60,"Medium",CallData[[#This Row],[Duration]]&gt;60,"Long")</f>
        <v>Long</v>
      </c>
      <c r="E31" s="24" t="s">
        <v>24</v>
      </c>
      <c r="F31" s="25">
        <v>44936</v>
      </c>
      <c r="G31" s="26">
        <v>110</v>
      </c>
      <c r="H31" s="26" t="str" cm="1">
        <f t="array" ref="H31">_xlfn.IFS(CallData[[#This Row],[Purchase Amount]]&lt;=50,"Low",CallData[[#This Row],[Purchase Amount]]&lt;=100,"Medium",CallData[[#This Row],[Purchase Amount]]&lt;=150,"High",CallData[[#This Row],[Purchase Amount]]&gt;150,"Very High")</f>
        <v>High</v>
      </c>
      <c r="I31" s="23">
        <v>4.8</v>
      </c>
      <c r="J31" s="23">
        <f>IF(MONTH('Call Data'!$F31)&lt;=6, YEAR('Call Data'!$F31), YEAR('Call Data'!$F31)+1)</f>
        <v>2023</v>
      </c>
      <c r="K31" s="23" t="str">
        <f>TEXT('Call Data'!$F31,"DDDD")</f>
        <v>Tuesday</v>
      </c>
      <c r="L31" s="23" t="s">
        <v>25</v>
      </c>
      <c r="M31" s="23">
        <f>ROUND('Call Data'!$I31,0)</f>
        <v>5</v>
      </c>
    </row>
    <row r="32" spans="1:13" ht="14.25" customHeight="1" x14ac:dyDescent="0.35">
      <c r="A32" s="23" t="s">
        <v>63</v>
      </c>
      <c r="B32" s="23" t="s">
        <v>46</v>
      </c>
      <c r="C32" s="23">
        <v>80</v>
      </c>
      <c r="D32" s="24" t="str" cm="1">
        <f t="array" ref="D32">_xlfn.IFS(CallData[[#This Row],[Duration]]&lt;=15,"Very short",CallData[[#This Row],[Duration]]&lt;=30,"Short",CallData[[#This Row],[Duration]]&lt;=60,"Medium",CallData[[#This Row],[Duration]]&gt;60,"Long")</f>
        <v>Long</v>
      </c>
      <c r="E32" s="24" t="s">
        <v>13</v>
      </c>
      <c r="F32" s="25">
        <v>44936</v>
      </c>
      <c r="G32" s="26">
        <v>140</v>
      </c>
      <c r="H32" s="26" t="str" cm="1">
        <f t="array" ref="H32">_xlfn.IFS(CallData[[#This Row],[Purchase Amount]]&lt;=50,"Low",CallData[[#This Row],[Purchase Amount]]&lt;=100,"Medium",CallData[[#This Row],[Purchase Amount]]&lt;=150,"High",CallData[[#This Row],[Purchase Amount]]&gt;150,"Very High")</f>
        <v>High</v>
      </c>
      <c r="I32" s="23">
        <v>4.2</v>
      </c>
      <c r="J32" s="23">
        <f>IF(MONTH('Call Data'!$F32)&lt;=6, YEAR('Call Data'!$F32), YEAR('Call Data'!$F32)+1)</f>
        <v>2023</v>
      </c>
      <c r="K32" s="23" t="str">
        <f>TEXT('Call Data'!$F32,"DDDD")</f>
        <v>Tuesday</v>
      </c>
      <c r="L32" s="23" t="s">
        <v>14</v>
      </c>
      <c r="M32" s="23">
        <f>ROUND('Call Data'!$I32,0)</f>
        <v>4</v>
      </c>
    </row>
    <row r="33" spans="1:13" ht="14.25" customHeight="1" x14ac:dyDescent="0.35">
      <c r="A33" s="23" t="s">
        <v>64</v>
      </c>
      <c r="B33" s="23" t="s">
        <v>23</v>
      </c>
      <c r="C33" s="23">
        <v>82</v>
      </c>
      <c r="D33" s="24" t="str" cm="1">
        <f t="array" ref="D33">_xlfn.IFS(CallData[[#This Row],[Duration]]&lt;=15,"Very short",CallData[[#This Row],[Duration]]&lt;=30,"Short",CallData[[#This Row],[Duration]]&lt;=60,"Medium",CallData[[#This Row],[Duration]]&gt;60,"Long")</f>
        <v>Long</v>
      </c>
      <c r="E33" s="24" t="s">
        <v>13</v>
      </c>
      <c r="F33" s="25">
        <v>44938</v>
      </c>
      <c r="G33" s="26">
        <v>42</v>
      </c>
      <c r="H33" s="26" t="str" cm="1">
        <f t="array" ref="H33">_xlfn.IFS(CallData[[#This Row],[Purchase Amount]]&lt;=50,"Low",CallData[[#This Row],[Purchase Amount]]&lt;=100,"Medium",CallData[[#This Row],[Purchase Amount]]&lt;=150,"High",CallData[[#This Row],[Purchase Amount]]&gt;150,"Very High")</f>
        <v>Low</v>
      </c>
      <c r="I33" s="23">
        <v>3.7</v>
      </c>
      <c r="J33" s="23">
        <f>IF(MONTH('Call Data'!$F33)&lt;=6, YEAR('Call Data'!$F33), YEAR('Call Data'!$F33)+1)</f>
        <v>2023</v>
      </c>
      <c r="K33" s="23" t="str">
        <f>TEXT('Call Data'!$F33,"DDDD")</f>
        <v>Thursday</v>
      </c>
      <c r="L33" s="23" t="s">
        <v>14</v>
      </c>
      <c r="M33" s="23">
        <f>ROUND('Call Data'!$I33,0)</f>
        <v>4</v>
      </c>
    </row>
    <row r="34" spans="1:13" ht="14.25" customHeight="1" x14ac:dyDescent="0.35">
      <c r="A34" s="23" t="s">
        <v>65</v>
      </c>
      <c r="B34" s="23" t="s">
        <v>23</v>
      </c>
      <c r="C34" s="23">
        <v>29</v>
      </c>
      <c r="D34" s="24" t="str" cm="1">
        <f t="array" ref="D34">_xlfn.IFS(CallData[[#This Row],[Duration]]&lt;=15,"Very short",CallData[[#This Row],[Duration]]&lt;=30,"Short",CallData[[#This Row],[Duration]]&lt;=60,"Medium",CallData[[#This Row],[Duration]]&gt;60,"Long")</f>
        <v>Short</v>
      </c>
      <c r="E34" s="24" t="s">
        <v>24</v>
      </c>
      <c r="F34" s="25">
        <v>44938</v>
      </c>
      <c r="G34" s="26">
        <v>170</v>
      </c>
      <c r="H34" s="26" t="str" cm="1">
        <f t="array" ref="H34">_xlfn.IFS(CallData[[#This Row],[Purchase Amount]]&lt;=50,"Low",CallData[[#This Row],[Purchase Amount]]&lt;=100,"Medium",CallData[[#This Row],[Purchase Amount]]&lt;=150,"High",CallData[[#This Row],[Purchase Amount]]&gt;150,"Very High")</f>
        <v>Very High</v>
      </c>
      <c r="I34" s="23">
        <v>5</v>
      </c>
      <c r="J34" s="23">
        <f>IF(MONTH('Call Data'!$F34)&lt;=6, YEAR('Call Data'!$F34), YEAR('Call Data'!$F34)+1)</f>
        <v>2023</v>
      </c>
      <c r="K34" s="23" t="str">
        <f>TEXT('Call Data'!$F34,"DDDD")</f>
        <v>Thursday</v>
      </c>
      <c r="L34" s="23" t="s">
        <v>47</v>
      </c>
      <c r="M34" s="23">
        <f>ROUND('Call Data'!$I34,0)</f>
        <v>5</v>
      </c>
    </row>
    <row r="35" spans="1:13" ht="14.25" customHeight="1" x14ac:dyDescent="0.35">
      <c r="A35" s="23" t="s">
        <v>66</v>
      </c>
      <c r="B35" s="23" t="s">
        <v>50</v>
      </c>
      <c r="C35" s="23">
        <v>160</v>
      </c>
      <c r="D35" s="24" t="str" cm="1">
        <f t="array" ref="D35">_xlfn.IFS(CallData[[#This Row],[Duration]]&lt;=15,"Very short",CallData[[#This Row],[Duration]]&lt;=30,"Short",CallData[[#This Row],[Duration]]&lt;=60,"Medium",CallData[[#This Row],[Duration]]&gt;60,"Long")</f>
        <v>Long</v>
      </c>
      <c r="E35" s="24" t="s">
        <v>19</v>
      </c>
      <c r="F35" s="25">
        <v>44940</v>
      </c>
      <c r="G35" s="26">
        <v>105</v>
      </c>
      <c r="H35" s="26" t="str" cm="1">
        <f t="array" ref="H35">_xlfn.IFS(CallData[[#This Row],[Purchase Amount]]&lt;=50,"Low",CallData[[#This Row],[Purchase Amount]]&lt;=100,"Medium",CallData[[#This Row],[Purchase Amount]]&lt;=150,"High",CallData[[#This Row],[Purchase Amount]]&gt;150,"Very High")</f>
        <v>High</v>
      </c>
      <c r="I35" s="23">
        <v>5</v>
      </c>
      <c r="J35" s="23">
        <f>IF(MONTH('Call Data'!$F35)&lt;=6, YEAR('Call Data'!$F35), YEAR('Call Data'!$F35)+1)</f>
        <v>2023</v>
      </c>
      <c r="K35" s="23" t="str">
        <f>TEXT('Call Data'!$F35,"DDDD")</f>
        <v>Saturday</v>
      </c>
      <c r="L35" s="23" t="s">
        <v>25</v>
      </c>
      <c r="M35" s="23">
        <f>ROUND('Call Data'!$I35,0)</f>
        <v>5</v>
      </c>
    </row>
    <row r="36" spans="1:13" ht="14.25" customHeight="1" x14ac:dyDescent="0.35">
      <c r="A36" s="23" t="s">
        <v>67</v>
      </c>
      <c r="B36" s="23" t="s">
        <v>68</v>
      </c>
      <c r="C36" s="23">
        <v>105</v>
      </c>
      <c r="D36" s="24" t="str" cm="1">
        <f t="array" ref="D36">_xlfn.IFS(CallData[[#This Row],[Duration]]&lt;=15,"Very short",CallData[[#This Row],[Duration]]&lt;=30,"Short",CallData[[#This Row],[Duration]]&lt;=60,"Medium",CallData[[#This Row],[Duration]]&gt;60,"Long")</f>
        <v>Long</v>
      </c>
      <c r="E36" s="24" t="s">
        <v>13</v>
      </c>
      <c r="F36" s="25">
        <v>44941</v>
      </c>
      <c r="G36" s="26">
        <v>125</v>
      </c>
      <c r="H36" s="26" t="str" cm="1">
        <f t="array" ref="H36">_xlfn.IFS(CallData[[#This Row],[Purchase Amount]]&lt;=50,"Low",CallData[[#This Row],[Purchase Amount]]&lt;=100,"Medium",CallData[[#This Row],[Purchase Amount]]&lt;=150,"High",CallData[[#This Row],[Purchase Amount]]&gt;150,"Very High")</f>
        <v>High</v>
      </c>
      <c r="I36" s="23">
        <v>4.8</v>
      </c>
      <c r="J36" s="23">
        <f>IF(MONTH('Call Data'!$F36)&lt;=6, YEAR('Call Data'!$F36), YEAR('Call Data'!$F36)+1)</f>
        <v>2023</v>
      </c>
      <c r="K36" s="23" t="str">
        <f>TEXT('Call Data'!$F36,"DDDD")</f>
        <v>Sunday</v>
      </c>
      <c r="L36" s="23" t="s">
        <v>14</v>
      </c>
      <c r="M36" s="23">
        <f>ROUND('Call Data'!$I36,0)</f>
        <v>5</v>
      </c>
    </row>
    <row r="37" spans="1:13" ht="14.25" customHeight="1" x14ac:dyDescent="0.35">
      <c r="A37" s="23" t="s">
        <v>69</v>
      </c>
      <c r="B37" s="23" t="s">
        <v>46</v>
      </c>
      <c r="C37" s="23">
        <v>75</v>
      </c>
      <c r="D37" s="24" t="str" cm="1">
        <f t="array" ref="D37">_xlfn.IFS(CallData[[#This Row],[Duration]]&lt;=15,"Very short",CallData[[#This Row],[Duration]]&lt;=30,"Short",CallData[[#This Row],[Duration]]&lt;=60,"Medium",CallData[[#This Row],[Duration]]&gt;60,"Long")</f>
        <v>Long</v>
      </c>
      <c r="E37" s="24" t="s">
        <v>35</v>
      </c>
      <c r="F37" s="25">
        <v>44941</v>
      </c>
      <c r="G37" s="26">
        <v>26</v>
      </c>
      <c r="H37" s="26" t="str" cm="1">
        <f t="array" ref="H37">_xlfn.IFS(CallData[[#This Row],[Purchase Amount]]&lt;=50,"Low",CallData[[#This Row],[Purchase Amount]]&lt;=100,"Medium",CallData[[#This Row],[Purchase Amount]]&lt;=150,"High",CallData[[#This Row],[Purchase Amount]]&gt;150,"Very High")</f>
        <v>Low</v>
      </c>
      <c r="I37" s="23">
        <v>2.4</v>
      </c>
      <c r="J37" s="23">
        <f>IF(MONTH('Call Data'!$F37)&lt;=6, YEAR('Call Data'!$F37), YEAR('Call Data'!$F37)+1)</f>
        <v>2023</v>
      </c>
      <c r="K37" s="23" t="str">
        <f>TEXT('Call Data'!$F37,"DDDD")</f>
        <v>Sunday</v>
      </c>
      <c r="L37" s="23" t="s">
        <v>14</v>
      </c>
      <c r="M37" s="23">
        <f>ROUND('Call Data'!$I37,0)</f>
        <v>2</v>
      </c>
    </row>
    <row r="38" spans="1:13" ht="14.25" customHeight="1" x14ac:dyDescent="0.35">
      <c r="A38" s="23" t="s">
        <v>70</v>
      </c>
      <c r="B38" s="23" t="s">
        <v>55</v>
      </c>
      <c r="C38" s="23">
        <v>94</v>
      </c>
      <c r="D38" s="24" t="str" cm="1">
        <f t="array" ref="D38">_xlfn.IFS(CallData[[#This Row],[Duration]]&lt;=15,"Very short",CallData[[#This Row],[Duration]]&lt;=30,"Short",CallData[[#This Row],[Duration]]&lt;=60,"Medium",CallData[[#This Row],[Duration]]&gt;60,"Long")</f>
        <v>Long</v>
      </c>
      <c r="E38" s="24" t="s">
        <v>35</v>
      </c>
      <c r="F38" s="25">
        <v>44942</v>
      </c>
      <c r="G38" s="26">
        <v>120</v>
      </c>
      <c r="H38" s="26" t="str" cm="1">
        <f t="array" ref="H38">_xlfn.IFS(CallData[[#This Row],[Purchase Amount]]&lt;=50,"Low",CallData[[#This Row],[Purchase Amount]]&lt;=100,"Medium",CallData[[#This Row],[Purchase Amount]]&lt;=150,"High",CallData[[#This Row],[Purchase Amount]]&gt;150,"Very High")</f>
        <v>High</v>
      </c>
      <c r="I38" s="23">
        <v>3.1</v>
      </c>
      <c r="J38" s="23">
        <f>IF(MONTH('Call Data'!$F38)&lt;=6, YEAR('Call Data'!$F38), YEAR('Call Data'!$F38)+1)</f>
        <v>2023</v>
      </c>
      <c r="K38" s="23" t="str">
        <f>TEXT('Call Data'!$F38,"DDDD")</f>
        <v>Monday</v>
      </c>
      <c r="L38" s="23" t="s">
        <v>14</v>
      </c>
      <c r="M38" s="23">
        <f>ROUND('Call Data'!$I38,0)</f>
        <v>3</v>
      </c>
    </row>
    <row r="39" spans="1:13" ht="14.25" customHeight="1" x14ac:dyDescent="0.35">
      <c r="A39" s="23" t="s">
        <v>71</v>
      </c>
      <c r="B39" s="23" t="s">
        <v>16</v>
      </c>
      <c r="C39" s="23">
        <v>90</v>
      </c>
      <c r="D39" s="24" t="str" cm="1">
        <f t="array" ref="D39">_xlfn.IFS(CallData[[#This Row],[Duration]]&lt;=15,"Very short",CallData[[#This Row],[Duration]]&lt;=30,"Short",CallData[[#This Row],[Duration]]&lt;=60,"Medium",CallData[[#This Row],[Duration]]&gt;60,"Long")</f>
        <v>Long</v>
      </c>
      <c r="E39" s="24" t="s">
        <v>19</v>
      </c>
      <c r="F39" s="25">
        <v>44942</v>
      </c>
      <c r="G39" s="26">
        <v>132</v>
      </c>
      <c r="H39" s="26" t="str" cm="1">
        <f t="array" ref="H39">_xlfn.IFS(CallData[[#This Row],[Purchase Amount]]&lt;=50,"Low",CallData[[#This Row],[Purchase Amount]]&lt;=100,"Medium",CallData[[#This Row],[Purchase Amount]]&lt;=150,"High",CallData[[#This Row],[Purchase Amount]]&gt;150,"Very High")</f>
        <v>High</v>
      </c>
      <c r="I39" s="23">
        <v>3.2</v>
      </c>
      <c r="J39" s="23">
        <f>IF(MONTH('Call Data'!$F39)&lt;=6, YEAR('Call Data'!$F39), YEAR('Call Data'!$F39)+1)</f>
        <v>2023</v>
      </c>
      <c r="K39" s="23" t="str">
        <f>TEXT('Call Data'!$F39,"DDDD")</f>
        <v>Monday</v>
      </c>
      <c r="L39" s="23" t="s">
        <v>14</v>
      </c>
      <c r="M39" s="23">
        <f>ROUND('Call Data'!$I39,0)</f>
        <v>3</v>
      </c>
    </row>
    <row r="40" spans="1:13" ht="14.25" customHeight="1" x14ac:dyDescent="0.35">
      <c r="A40" s="23" t="s">
        <v>72</v>
      </c>
      <c r="B40" s="23" t="s">
        <v>55</v>
      </c>
      <c r="C40" s="23">
        <v>81</v>
      </c>
      <c r="D40" s="24" t="str" cm="1">
        <f t="array" ref="D40">_xlfn.IFS(CallData[[#This Row],[Duration]]&lt;=15,"Very short",CallData[[#This Row],[Duration]]&lt;=30,"Short",CallData[[#This Row],[Duration]]&lt;=60,"Medium",CallData[[#This Row],[Duration]]&gt;60,"Long")</f>
        <v>Long</v>
      </c>
      <c r="E40" s="24" t="s">
        <v>31</v>
      </c>
      <c r="F40" s="25">
        <v>44943</v>
      </c>
      <c r="G40" s="26">
        <v>86</v>
      </c>
      <c r="H40" s="26" t="str" cm="1">
        <f t="array" ref="H40">_xlfn.IFS(CallData[[#This Row],[Purchase Amount]]&lt;=50,"Low",CallData[[#This Row],[Purchase Amount]]&lt;=100,"Medium",CallData[[#This Row],[Purchase Amount]]&lt;=150,"High",CallData[[#This Row],[Purchase Amount]]&gt;150,"Very High")</f>
        <v>Medium</v>
      </c>
      <c r="I40" s="23">
        <v>2.4</v>
      </c>
      <c r="J40" s="23">
        <f>IF(MONTH('Call Data'!$F40)&lt;=6, YEAR('Call Data'!$F40), YEAR('Call Data'!$F40)+1)</f>
        <v>2023</v>
      </c>
      <c r="K40" s="23" t="str">
        <f>TEXT('Call Data'!$F40,"DDDD")</f>
        <v>Tuesday</v>
      </c>
      <c r="L40" s="23" t="s">
        <v>14</v>
      </c>
      <c r="M40" s="23">
        <f>ROUND('Call Data'!$I40,0)</f>
        <v>2</v>
      </c>
    </row>
    <row r="41" spans="1:13" ht="14.25" customHeight="1" x14ac:dyDescent="0.35">
      <c r="A41" s="23" t="s">
        <v>73</v>
      </c>
      <c r="B41" s="23" t="s">
        <v>46</v>
      </c>
      <c r="C41" s="23">
        <v>106</v>
      </c>
      <c r="D41" s="24" t="str" cm="1">
        <f t="array" ref="D41">_xlfn.IFS(CallData[[#This Row],[Duration]]&lt;=15,"Very short",CallData[[#This Row],[Duration]]&lt;=30,"Short",CallData[[#This Row],[Duration]]&lt;=60,"Medium",CallData[[#This Row],[Duration]]&gt;60,"Long")</f>
        <v>Long</v>
      </c>
      <c r="E41" s="24" t="s">
        <v>13</v>
      </c>
      <c r="F41" s="25">
        <v>44943</v>
      </c>
      <c r="G41" s="26">
        <v>108</v>
      </c>
      <c r="H41" s="26" t="str" cm="1">
        <f t="array" ref="H41">_xlfn.IFS(CallData[[#This Row],[Purchase Amount]]&lt;=50,"Low",CallData[[#This Row],[Purchase Amount]]&lt;=100,"Medium",CallData[[#This Row],[Purchase Amount]]&lt;=150,"High",CallData[[#This Row],[Purchase Amount]]&gt;150,"Very High")</f>
        <v>High</v>
      </c>
      <c r="I41" s="23">
        <v>5</v>
      </c>
      <c r="J41" s="23">
        <f>IF(MONTH('Call Data'!$F41)&lt;=6, YEAR('Call Data'!$F41), YEAR('Call Data'!$F41)+1)</f>
        <v>2023</v>
      </c>
      <c r="K41" s="23" t="str">
        <f>TEXT('Call Data'!$F41,"DDDD")</f>
        <v>Tuesday</v>
      </c>
      <c r="L41" s="23" t="s">
        <v>14</v>
      </c>
      <c r="M41" s="23">
        <f>ROUND('Call Data'!$I41,0)</f>
        <v>5</v>
      </c>
    </row>
    <row r="42" spans="1:13" ht="14.25" customHeight="1" x14ac:dyDescent="0.35">
      <c r="A42" s="23" t="s">
        <v>74</v>
      </c>
      <c r="B42" s="23" t="s">
        <v>16</v>
      </c>
      <c r="C42" s="23">
        <v>74</v>
      </c>
      <c r="D42" s="24" t="str" cm="1">
        <f t="array" ref="D42">_xlfn.IFS(CallData[[#This Row],[Duration]]&lt;=15,"Very short",CallData[[#This Row],[Duration]]&lt;=30,"Short",CallData[[#This Row],[Duration]]&lt;=60,"Medium",CallData[[#This Row],[Duration]]&gt;60,"Long")</f>
        <v>Long</v>
      </c>
      <c r="E42" s="24" t="s">
        <v>31</v>
      </c>
      <c r="F42" s="25">
        <v>44943</v>
      </c>
      <c r="G42" s="26">
        <v>96</v>
      </c>
      <c r="H42" s="26" t="str" cm="1">
        <f t="array" ref="H42">_xlfn.IFS(CallData[[#This Row],[Purchase Amount]]&lt;=50,"Low",CallData[[#This Row],[Purchase Amount]]&lt;=100,"Medium",CallData[[#This Row],[Purchase Amount]]&lt;=150,"High",CallData[[#This Row],[Purchase Amount]]&gt;150,"Very High")</f>
        <v>Medium</v>
      </c>
      <c r="I42" s="23">
        <v>4.7</v>
      </c>
      <c r="J42" s="23">
        <f>IF(MONTH('Call Data'!$F42)&lt;=6, YEAR('Call Data'!$F42), YEAR('Call Data'!$F42)+1)</f>
        <v>2023</v>
      </c>
      <c r="K42" s="23" t="str">
        <f>TEXT('Call Data'!$F42,"DDDD")</f>
        <v>Tuesday</v>
      </c>
      <c r="L42" s="23" t="s">
        <v>14</v>
      </c>
      <c r="M42" s="23">
        <f>ROUND('Call Data'!$I42,0)</f>
        <v>5</v>
      </c>
    </row>
    <row r="43" spans="1:13" ht="14.25" customHeight="1" x14ac:dyDescent="0.35">
      <c r="A43" s="23" t="s">
        <v>75</v>
      </c>
      <c r="B43" s="23" t="s">
        <v>34</v>
      </c>
      <c r="C43" s="23">
        <v>105</v>
      </c>
      <c r="D43" s="24" t="str" cm="1">
        <f t="array" ref="D43">_xlfn.IFS(CallData[[#This Row],[Duration]]&lt;=15,"Very short",CallData[[#This Row],[Duration]]&lt;=30,"Short",CallData[[#This Row],[Duration]]&lt;=60,"Medium",CallData[[#This Row],[Duration]]&gt;60,"Long")</f>
        <v>Long</v>
      </c>
      <c r="E43" s="24" t="s">
        <v>19</v>
      </c>
      <c r="F43" s="25">
        <v>44944</v>
      </c>
      <c r="G43" s="26">
        <v>80</v>
      </c>
      <c r="H43" s="26" t="str" cm="1">
        <f t="array" ref="H43">_xlfn.IFS(CallData[[#This Row],[Purchase Amount]]&lt;=50,"Low",CallData[[#This Row],[Purchase Amount]]&lt;=100,"Medium",CallData[[#This Row],[Purchase Amount]]&lt;=150,"High",CallData[[#This Row],[Purchase Amount]]&gt;150,"Very High")</f>
        <v>Medium</v>
      </c>
      <c r="I43" s="23">
        <v>4.7</v>
      </c>
      <c r="J43" s="23">
        <f>IF(MONTH('Call Data'!$F43)&lt;=6, YEAR('Call Data'!$F43), YEAR('Call Data'!$F43)+1)</f>
        <v>2023</v>
      </c>
      <c r="K43" s="23" t="str">
        <f>TEXT('Call Data'!$F43,"DDDD")</f>
        <v>Wednesday</v>
      </c>
      <c r="L43" s="23" t="s">
        <v>14</v>
      </c>
      <c r="M43" s="23">
        <f>ROUND('Call Data'!$I43,0)</f>
        <v>5</v>
      </c>
    </row>
    <row r="44" spans="1:13" ht="14.25" customHeight="1" x14ac:dyDescent="0.35">
      <c r="A44" s="23" t="s">
        <v>76</v>
      </c>
      <c r="B44" s="23" t="s">
        <v>46</v>
      </c>
      <c r="C44" s="23">
        <v>89</v>
      </c>
      <c r="D44" s="24" t="str" cm="1">
        <f t="array" ref="D44">_xlfn.IFS(CallData[[#This Row],[Duration]]&lt;=15,"Very short",CallData[[#This Row],[Duration]]&lt;=30,"Short",CallData[[#This Row],[Duration]]&lt;=60,"Medium",CallData[[#This Row],[Duration]]&gt;60,"Long")</f>
        <v>Long</v>
      </c>
      <c r="E44" s="24" t="s">
        <v>13</v>
      </c>
      <c r="F44" s="25">
        <v>44944</v>
      </c>
      <c r="G44" s="26">
        <v>155</v>
      </c>
      <c r="H44" s="26" t="str" cm="1">
        <f t="array" ref="H44">_xlfn.IFS(CallData[[#This Row],[Purchase Amount]]&lt;=50,"Low",CallData[[#This Row],[Purchase Amount]]&lt;=100,"Medium",CallData[[#This Row],[Purchase Amount]]&lt;=150,"High",CallData[[#This Row],[Purchase Amount]]&gt;150,"Very High")</f>
        <v>Very High</v>
      </c>
      <c r="I44" s="23">
        <v>4.0999999999999996</v>
      </c>
      <c r="J44" s="23">
        <f>IF(MONTH('Call Data'!$F44)&lt;=6, YEAR('Call Data'!$F44), YEAR('Call Data'!$F44)+1)</f>
        <v>2023</v>
      </c>
      <c r="K44" s="23" t="str">
        <f>TEXT('Call Data'!$F44,"DDDD")</f>
        <v>Wednesday</v>
      </c>
      <c r="L44" s="23" t="s">
        <v>14</v>
      </c>
      <c r="M44" s="23">
        <f>ROUND('Call Data'!$I44,0)</f>
        <v>4</v>
      </c>
    </row>
    <row r="45" spans="1:13" ht="14.25" customHeight="1" x14ac:dyDescent="0.35">
      <c r="A45" s="23" t="s">
        <v>77</v>
      </c>
      <c r="B45" s="23" t="s">
        <v>38</v>
      </c>
      <c r="C45" s="23">
        <v>132</v>
      </c>
      <c r="D45" s="24" t="str" cm="1">
        <f t="array" ref="D45">_xlfn.IFS(CallData[[#This Row],[Duration]]&lt;=15,"Very short",CallData[[#This Row],[Duration]]&lt;=30,"Short",CallData[[#This Row],[Duration]]&lt;=60,"Medium",CallData[[#This Row],[Duration]]&gt;60,"Long")</f>
        <v>Long</v>
      </c>
      <c r="E45" s="24" t="s">
        <v>35</v>
      </c>
      <c r="F45" s="25">
        <v>44944</v>
      </c>
      <c r="G45" s="26">
        <v>168</v>
      </c>
      <c r="H45" s="26" t="str" cm="1">
        <f t="array" ref="H45">_xlfn.IFS(CallData[[#This Row],[Purchase Amount]]&lt;=50,"Low",CallData[[#This Row],[Purchase Amount]]&lt;=100,"Medium",CallData[[#This Row],[Purchase Amount]]&lt;=150,"High",CallData[[#This Row],[Purchase Amount]]&gt;150,"Very High")</f>
        <v>Very High</v>
      </c>
      <c r="I45" s="23">
        <v>4.0999999999999996</v>
      </c>
      <c r="J45" s="23">
        <f>IF(MONTH('Call Data'!$F45)&lt;=6, YEAR('Call Data'!$F45), YEAR('Call Data'!$F45)+1)</f>
        <v>2023</v>
      </c>
      <c r="K45" s="23" t="str">
        <f>TEXT('Call Data'!$F45,"DDDD")</f>
        <v>Wednesday</v>
      </c>
      <c r="L45" s="23" t="s">
        <v>25</v>
      </c>
      <c r="M45" s="23">
        <f>ROUND('Call Data'!$I45,0)</f>
        <v>4</v>
      </c>
    </row>
    <row r="46" spans="1:13" ht="14.25" customHeight="1" x14ac:dyDescent="0.35">
      <c r="A46" s="23" t="s">
        <v>78</v>
      </c>
      <c r="B46" s="23" t="s">
        <v>68</v>
      </c>
      <c r="C46" s="23">
        <v>105</v>
      </c>
      <c r="D46" s="24" t="str" cm="1">
        <f t="array" ref="D46">_xlfn.IFS(CallData[[#This Row],[Duration]]&lt;=15,"Very short",CallData[[#This Row],[Duration]]&lt;=30,"Short",CallData[[#This Row],[Duration]]&lt;=60,"Medium",CallData[[#This Row],[Duration]]&gt;60,"Long")</f>
        <v>Long</v>
      </c>
      <c r="E46" s="24" t="s">
        <v>24</v>
      </c>
      <c r="F46" s="25">
        <v>44944</v>
      </c>
      <c r="G46" s="26">
        <v>56</v>
      </c>
      <c r="H46" s="26" t="str" cm="1">
        <f t="array" ref="H46">_xlfn.IFS(CallData[[#This Row],[Purchase Amount]]&lt;=50,"Low",CallData[[#This Row],[Purchase Amount]]&lt;=100,"Medium",CallData[[#This Row],[Purchase Amount]]&lt;=150,"High",CallData[[#This Row],[Purchase Amount]]&gt;150,"Very High")</f>
        <v>Medium</v>
      </c>
      <c r="I46" s="23">
        <v>3.6</v>
      </c>
      <c r="J46" s="23">
        <f>IF(MONTH('Call Data'!$F46)&lt;=6, YEAR('Call Data'!$F46), YEAR('Call Data'!$F46)+1)</f>
        <v>2023</v>
      </c>
      <c r="K46" s="23" t="str">
        <f>TEXT('Call Data'!$F46,"DDDD")</f>
        <v>Wednesday</v>
      </c>
      <c r="L46" s="23" t="s">
        <v>14</v>
      </c>
      <c r="M46" s="23">
        <f>ROUND('Call Data'!$I46,0)</f>
        <v>4</v>
      </c>
    </row>
    <row r="47" spans="1:13" ht="14.25" customHeight="1" x14ac:dyDescent="0.35">
      <c r="A47" s="23" t="s">
        <v>79</v>
      </c>
      <c r="B47" s="23" t="s">
        <v>23</v>
      </c>
      <c r="C47" s="23">
        <v>13</v>
      </c>
      <c r="D47" s="24" t="str" cm="1">
        <f t="array" ref="D47">_xlfn.IFS(CallData[[#This Row],[Duration]]&lt;=15,"Very short",CallData[[#This Row],[Duration]]&lt;=30,"Short",CallData[[#This Row],[Duration]]&lt;=60,"Medium",CallData[[#This Row],[Duration]]&gt;60,"Long")</f>
        <v>Very short</v>
      </c>
      <c r="E47" s="24" t="s">
        <v>35</v>
      </c>
      <c r="F47" s="25">
        <v>44945</v>
      </c>
      <c r="G47" s="26">
        <v>32</v>
      </c>
      <c r="H47" s="26" t="str" cm="1">
        <f t="array" ref="H47">_xlfn.IFS(CallData[[#This Row],[Purchase Amount]]&lt;=50,"Low",CallData[[#This Row],[Purchase Amount]]&lt;=100,"Medium",CallData[[#This Row],[Purchase Amount]]&lt;=150,"High",CallData[[#This Row],[Purchase Amount]]&gt;150,"Very High")</f>
        <v>Low</v>
      </c>
      <c r="I47" s="23">
        <v>4.4000000000000004</v>
      </c>
      <c r="J47" s="23">
        <f>IF(MONTH('Call Data'!$F47)&lt;=6, YEAR('Call Data'!$F47), YEAR('Call Data'!$F47)+1)</f>
        <v>2023</v>
      </c>
      <c r="K47" s="23" t="str">
        <f>TEXT('Call Data'!$F47,"DDDD")</f>
        <v>Thursday</v>
      </c>
      <c r="L47" s="23" t="s">
        <v>47</v>
      </c>
      <c r="M47" s="23">
        <f>ROUND('Call Data'!$I47,0)</f>
        <v>4</v>
      </c>
    </row>
    <row r="48" spans="1:13" ht="14.25" customHeight="1" x14ac:dyDescent="0.35">
      <c r="A48" s="23" t="s">
        <v>80</v>
      </c>
      <c r="B48" s="23" t="s">
        <v>21</v>
      </c>
      <c r="C48" s="23">
        <v>131</v>
      </c>
      <c r="D48" s="24" t="str" cm="1">
        <f t="array" ref="D48">_xlfn.IFS(CallData[[#This Row],[Duration]]&lt;=15,"Very short",CallData[[#This Row],[Duration]]&lt;=30,"Short",CallData[[#This Row],[Duration]]&lt;=60,"Medium",CallData[[#This Row],[Duration]]&gt;60,"Long")</f>
        <v>Long</v>
      </c>
      <c r="E48" s="24" t="s">
        <v>24</v>
      </c>
      <c r="F48" s="25">
        <v>44945</v>
      </c>
      <c r="G48" s="26">
        <v>78</v>
      </c>
      <c r="H48" s="26" t="str" cm="1">
        <f t="array" ref="H48">_xlfn.IFS(CallData[[#This Row],[Purchase Amount]]&lt;=50,"Low",CallData[[#This Row],[Purchase Amount]]&lt;=100,"Medium",CallData[[#This Row],[Purchase Amount]]&lt;=150,"High",CallData[[#This Row],[Purchase Amount]]&gt;150,"Very High")</f>
        <v>Medium</v>
      </c>
      <c r="I48" s="23">
        <v>4.4000000000000004</v>
      </c>
      <c r="J48" s="23">
        <f>IF(MONTH('Call Data'!$F48)&lt;=6, YEAR('Call Data'!$F48), YEAR('Call Data'!$F48)+1)</f>
        <v>2023</v>
      </c>
      <c r="K48" s="23" t="str">
        <f>TEXT('Call Data'!$F48,"DDDD")</f>
        <v>Thursday</v>
      </c>
      <c r="L48" s="23" t="s">
        <v>25</v>
      </c>
      <c r="M48" s="23">
        <f>ROUND('Call Data'!$I48,0)</f>
        <v>4</v>
      </c>
    </row>
    <row r="49" spans="1:13" ht="14.25" customHeight="1" x14ac:dyDescent="0.35">
      <c r="A49" s="23" t="s">
        <v>81</v>
      </c>
      <c r="B49" s="23" t="s">
        <v>16</v>
      </c>
      <c r="C49" s="23">
        <v>104</v>
      </c>
      <c r="D49" s="24" t="str" cm="1">
        <f t="array" ref="D49">_xlfn.IFS(CallData[[#This Row],[Duration]]&lt;=15,"Very short",CallData[[#This Row],[Duration]]&lt;=30,"Short",CallData[[#This Row],[Duration]]&lt;=60,"Medium",CallData[[#This Row],[Duration]]&gt;60,"Long")</f>
        <v>Long</v>
      </c>
      <c r="E49" s="24" t="s">
        <v>13</v>
      </c>
      <c r="F49" s="25">
        <v>44945</v>
      </c>
      <c r="G49" s="26">
        <v>86</v>
      </c>
      <c r="H49" s="26" t="str" cm="1">
        <f t="array" ref="H49">_xlfn.IFS(CallData[[#This Row],[Purchase Amount]]&lt;=50,"Low",CallData[[#This Row],[Purchase Amount]]&lt;=100,"Medium",CallData[[#This Row],[Purchase Amount]]&lt;=150,"High",CallData[[#This Row],[Purchase Amount]]&gt;150,"Very High")</f>
        <v>Medium</v>
      </c>
      <c r="I49" s="23">
        <v>4</v>
      </c>
      <c r="J49" s="23">
        <f>IF(MONTH('Call Data'!$F49)&lt;=6, YEAR('Call Data'!$F49), YEAR('Call Data'!$F49)+1)</f>
        <v>2023</v>
      </c>
      <c r="K49" s="23" t="str">
        <f>TEXT('Call Data'!$F49,"DDDD")</f>
        <v>Thursday</v>
      </c>
      <c r="L49" s="23" t="s">
        <v>14</v>
      </c>
      <c r="M49" s="23">
        <f>ROUND('Call Data'!$I49,0)</f>
        <v>4</v>
      </c>
    </row>
    <row r="50" spans="1:13" ht="14.25" customHeight="1" x14ac:dyDescent="0.35">
      <c r="A50" s="23" t="s">
        <v>82</v>
      </c>
      <c r="B50" s="23" t="s">
        <v>12</v>
      </c>
      <c r="C50" s="23">
        <v>90</v>
      </c>
      <c r="D50" s="24" t="str" cm="1">
        <f t="array" ref="D50">_xlfn.IFS(CallData[[#This Row],[Duration]]&lt;=15,"Very short",CallData[[#This Row],[Duration]]&lt;=30,"Short",CallData[[#This Row],[Duration]]&lt;=60,"Medium",CallData[[#This Row],[Duration]]&gt;60,"Long")</f>
        <v>Long</v>
      </c>
      <c r="E50" s="24" t="s">
        <v>19</v>
      </c>
      <c r="F50" s="25">
        <v>44946</v>
      </c>
      <c r="G50" s="26">
        <v>64</v>
      </c>
      <c r="H50" s="26" t="str" cm="1">
        <f t="array" ref="H50">_xlfn.IFS(CallData[[#This Row],[Purchase Amount]]&lt;=50,"Low",CallData[[#This Row],[Purchase Amount]]&lt;=100,"Medium",CallData[[#This Row],[Purchase Amount]]&lt;=150,"High",CallData[[#This Row],[Purchase Amount]]&gt;150,"Very High")</f>
        <v>Medium</v>
      </c>
      <c r="I50" s="23">
        <v>3.8</v>
      </c>
      <c r="J50" s="23">
        <f>IF(MONTH('Call Data'!$F50)&lt;=6, YEAR('Call Data'!$F50), YEAR('Call Data'!$F50)+1)</f>
        <v>2023</v>
      </c>
      <c r="K50" s="23" t="str">
        <f>TEXT('Call Data'!$F50,"DDDD")</f>
        <v>Friday</v>
      </c>
      <c r="L50" s="23" t="s">
        <v>14</v>
      </c>
      <c r="M50" s="23">
        <f>ROUND('Call Data'!$I50,0)</f>
        <v>4</v>
      </c>
    </row>
    <row r="51" spans="1:13" ht="14.25" customHeight="1" x14ac:dyDescent="0.35">
      <c r="A51" s="23" t="s">
        <v>83</v>
      </c>
      <c r="B51" s="23" t="s">
        <v>58</v>
      </c>
      <c r="C51" s="23">
        <v>37</v>
      </c>
      <c r="D51" s="24" t="str" cm="1">
        <f t="array" ref="D51">_xlfn.IFS(CallData[[#This Row],[Duration]]&lt;=15,"Very short",CallData[[#This Row],[Duration]]&lt;=30,"Short",CallData[[#This Row],[Duration]]&lt;=60,"Medium",CallData[[#This Row],[Duration]]&gt;60,"Long")</f>
        <v>Medium</v>
      </c>
      <c r="E51" s="24" t="s">
        <v>19</v>
      </c>
      <c r="F51" s="25">
        <v>44946</v>
      </c>
      <c r="G51" s="26">
        <v>96</v>
      </c>
      <c r="H51" s="26" t="str" cm="1">
        <f t="array" ref="H51">_xlfn.IFS(CallData[[#This Row],[Purchase Amount]]&lt;=50,"Low",CallData[[#This Row],[Purchase Amount]]&lt;=100,"Medium",CallData[[#This Row],[Purchase Amount]]&lt;=150,"High",CallData[[#This Row],[Purchase Amount]]&gt;150,"Very High")</f>
        <v>Medium</v>
      </c>
      <c r="I51" s="23">
        <v>3.6</v>
      </c>
      <c r="J51" s="23">
        <f>IF(MONTH('Call Data'!$F51)&lt;=6, YEAR('Call Data'!$F51), YEAR('Call Data'!$F51)+1)</f>
        <v>2023</v>
      </c>
      <c r="K51" s="23" t="str">
        <f>TEXT('Call Data'!$F51,"DDDD")</f>
        <v>Friday</v>
      </c>
      <c r="L51" s="23" t="s">
        <v>27</v>
      </c>
      <c r="M51" s="23">
        <f>ROUND('Call Data'!$I51,0)</f>
        <v>4</v>
      </c>
    </row>
    <row r="52" spans="1:13" ht="14.25" customHeight="1" x14ac:dyDescent="0.35">
      <c r="A52" s="23" t="s">
        <v>84</v>
      </c>
      <c r="B52" s="23" t="s">
        <v>40</v>
      </c>
      <c r="C52" s="23">
        <v>149</v>
      </c>
      <c r="D52" s="24" t="str" cm="1">
        <f t="array" ref="D52">_xlfn.IFS(CallData[[#This Row],[Duration]]&lt;=15,"Very short",CallData[[#This Row],[Duration]]&lt;=30,"Short",CallData[[#This Row],[Duration]]&lt;=60,"Medium",CallData[[#This Row],[Duration]]&gt;60,"Long")</f>
        <v>Long</v>
      </c>
      <c r="E52" s="24" t="s">
        <v>24</v>
      </c>
      <c r="F52" s="25">
        <v>44946</v>
      </c>
      <c r="G52" s="26">
        <v>72</v>
      </c>
      <c r="H52" s="26" t="str" cm="1">
        <f t="array" ref="H52">_xlfn.IFS(CallData[[#This Row],[Purchase Amount]]&lt;=50,"Low",CallData[[#This Row],[Purchase Amount]]&lt;=100,"Medium",CallData[[#This Row],[Purchase Amount]]&lt;=150,"High",CallData[[#This Row],[Purchase Amount]]&gt;150,"Very High")</f>
        <v>Medium</v>
      </c>
      <c r="I52" s="23">
        <v>4.3</v>
      </c>
      <c r="J52" s="23">
        <f>IF(MONTH('Call Data'!$F52)&lt;=6, YEAR('Call Data'!$F52), YEAR('Call Data'!$F52)+1)</f>
        <v>2023</v>
      </c>
      <c r="K52" s="23" t="str">
        <f>TEXT('Call Data'!$F52,"DDDD")</f>
        <v>Friday</v>
      </c>
      <c r="L52" s="23" t="s">
        <v>25</v>
      </c>
      <c r="M52" s="23">
        <f>ROUND('Call Data'!$I52,0)</f>
        <v>4</v>
      </c>
    </row>
    <row r="53" spans="1:13" ht="14.25" customHeight="1" x14ac:dyDescent="0.35">
      <c r="A53" s="23" t="s">
        <v>85</v>
      </c>
      <c r="B53" s="23" t="s">
        <v>38</v>
      </c>
      <c r="C53" s="23">
        <v>100</v>
      </c>
      <c r="D53" s="24" t="str" cm="1">
        <f t="array" ref="D53">_xlfn.IFS(CallData[[#This Row],[Duration]]&lt;=15,"Very short",CallData[[#This Row],[Duration]]&lt;=30,"Short",CallData[[#This Row],[Duration]]&lt;=60,"Medium",CallData[[#This Row],[Duration]]&gt;60,"Long")</f>
        <v>Long</v>
      </c>
      <c r="E53" s="24" t="s">
        <v>31</v>
      </c>
      <c r="F53" s="25">
        <v>44947</v>
      </c>
      <c r="G53" s="26">
        <v>135</v>
      </c>
      <c r="H53" s="26" t="str" cm="1">
        <f t="array" ref="H53">_xlfn.IFS(CallData[[#This Row],[Purchase Amount]]&lt;=50,"Low",CallData[[#This Row],[Purchase Amount]]&lt;=100,"Medium",CallData[[#This Row],[Purchase Amount]]&lt;=150,"High",CallData[[#This Row],[Purchase Amount]]&gt;150,"Very High")</f>
        <v>High</v>
      </c>
      <c r="I53" s="23">
        <v>3.8</v>
      </c>
      <c r="J53" s="23">
        <f>IF(MONTH('Call Data'!$F53)&lt;=6, YEAR('Call Data'!$F53), YEAR('Call Data'!$F53)+1)</f>
        <v>2023</v>
      </c>
      <c r="K53" s="23" t="str">
        <f>TEXT('Call Data'!$F53,"DDDD")</f>
        <v>Saturday</v>
      </c>
      <c r="L53" s="23" t="s">
        <v>14</v>
      </c>
      <c r="M53" s="23">
        <f>ROUND('Call Data'!$I53,0)</f>
        <v>4</v>
      </c>
    </row>
    <row r="54" spans="1:13" ht="14.25" customHeight="1" x14ac:dyDescent="0.35">
      <c r="A54" s="23" t="s">
        <v>86</v>
      </c>
      <c r="B54" s="23" t="s">
        <v>38</v>
      </c>
      <c r="C54" s="23">
        <v>79</v>
      </c>
      <c r="D54" s="24" t="str" cm="1">
        <f t="array" ref="D54">_xlfn.IFS(CallData[[#This Row],[Duration]]&lt;=15,"Very short",CallData[[#This Row],[Duration]]&lt;=30,"Short",CallData[[#This Row],[Duration]]&lt;=60,"Medium",CallData[[#This Row],[Duration]]&gt;60,"Long")</f>
        <v>Long</v>
      </c>
      <c r="E54" s="24" t="s">
        <v>35</v>
      </c>
      <c r="F54" s="25">
        <v>44947</v>
      </c>
      <c r="G54" s="26">
        <v>140</v>
      </c>
      <c r="H54" s="26" t="str" cm="1">
        <f t="array" ref="H54">_xlfn.IFS(CallData[[#This Row],[Purchase Amount]]&lt;=50,"Low",CallData[[#This Row],[Purchase Amount]]&lt;=100,"Medium",CallData[[#This Row],[Purchase Amount]]&lt;=150,"High",CallData[[#This Row],[Purchase Amount]]&gt;150,"Very High")</f>
        <v>High</v>
      </c>
      <c r="I54" s="23">
        <v>4.5</v>
      </c>
      <c r="J54" s="23">
        <f>IF(MONTH('Call Data'!$F54)&lt;=6, YEAR('Call Data'!$F54), YEAR('Call Data'!$F54)+1)</f>
        <v>2023</v>
      </c>
      <c r="K54" s="23" t="str">
        <f>TEXT('Call Data'!$F54,"DDDD")</f>
        <v>Saturday</v>
      </c>
      <c r="L54" s="23" t="s">
        <v>14</v>
      </c>
      <c r="M54" s="23">
        <f>ROUND('Call Data'!$I54,0)</f>
        <v>5</v>
      </c>
    </row>
    <row r="55" spans="1:13" ht="14.25" customHeight="1" x14ac:dyDescent="0.35">
      <c r="A55" s="23" t="s">
        <v>87</v>
      </c>
      <c r="B55" s="23" t="s">
        <v>88</v>
      </c>
      <c r="C55" s="23">
        <v>157</v>
      </c>
      <c r="D55" s="24" t="str" cm="1">
        <f t="array" ref="D55">_xlfn.IFS(CallData[[#This Row],[Duration]]&lt;=15,"Very short",CallData[[#This Row],[Duration]]&lt;=30,"Short",CallData[[#This Row],[Duration]]&lt;=60,"Medium",CallData[[#This Row],[Duration]]&gt;60,"Long")</f>
        <v>Long</v>
      </c>
      <c r="E55" s="24" t="s">
        <v>24</v>
      </c>
      <c r="F55" s="25">
        <v>44947</v>
      </c>
      <c r="G55" s="26">
        <v>69</v>
      </c>
      <c r="H55" s="26" t="str" cm="1">
        <f t="array" ref="H55">_xlfn.IFS(CallData[[#This Row],[Purchase Amount]]&lt;=50,"Low",CallData[[#This Row],[Purchase Amount]]&lt;=100,"Medium",CallData[[#This Row],[Purchase Amount]]&lt;=150,"High",CallData[[#This Row],[Purchase Amount]]&gt;150,"Very High")</f>
        <v>Medium</v>
      </c>
      <c r="I55" s="23">
        <v>4.5</v>
      </c>
      <c r="J55" s="23">
        <f>IF(MONTH('Call Data'!$F55)&lt;=6, YEAR('Call Data'!$F55), YEAR('Call Data'!$F55)+1)</f>
        <v>2023</v>
      </c>
      <c r="K55" s="23" t="str">
        <f>TEXT('Call Data'!$F55,"DDDD")</f>
        <v>Saturday</v>
      </c>
      <c r="L55" s="23" t="s">
        <v>25</v>
      </c>
      <c r="M55" s="23">
        <f>ROUND('Call Data'!$I55,0)</f>
        <v>5</v>
      </c>
    </row>
    <row r="56" spans="1:13" ht="14.25" customHeight="1" x14ac:dyDescent="0.35">
      <c r="A56" s="23" t="s">
        <v>89</v>
      </c>
      <c r="B56" s="23" t="s">
        <v>38</v>
      </c>
      <c r="C56" s="23">
        <v>59</v>
      </c>
      <c r="D56" s="24" t="str" cm="1">
        <f t="array" ref="D56">_xlfn.IFS(CallData[[#This Row],[Duration]]&lt;=15,"Very short",CallData[[#This Row],[Duration]]&lt;=30,"Short",CallData[[#This Row],[Duration]]&lt;=60,"Medium",CallData[[#This Row],[Duration]]&gt;60,"Long")</f>
        <v>Medium</v>
      </c>
      <c r="E56" s="24" t="s">
        <v>13</v>
      </c>
      <c r="F56" s="25">
        <v>44948</v>
      </c>
      <c r="G56" s="26">
        <v>136</v>
      </c>
      <c r="H56" s="26" t="str" cm="1">
        <f t="array" ref="H56">_xlfn.IFS(CallData[[#This Row],[Purchase Amount]]&lt;=50,"Low",CallData[[#This Row],[Purchase Amount]]&lt;=100,"Medium",CallData[[#This Row],[Purchase Amount]]&lt;=150,"High",CallData[[#This Row],[Purchase Amount]]&gt;150,"Very High")</f>
        <v>High</v>
      </c>
      <c r="I56" s="23">
        <v>4.5999999999999996</v>
      </c>
      <c r="J56" s="23">
        <f>IF(MONTH('Call Data'!$F56)&lt;=6, YEAR('Call Data'!$F56), YEAR('Call Data'!$F56)+1)</f>
        <v>2023</v>
      </c>
      <c r="K56" s="23" t="str">
        <f>TEXT('Call Data'!$F56,"DDDD")</f>
        <v>Sunday</v>
      </c>
      <c r="L56" s="23" t="s">
        <v>27</v>
      </c>
      <c r="M56" s="23">
        <f>ROUND('Call Data'!$I56,0)</f>
        <v>5</v>
      </c>
    </row>
    <row r="57" spans="1:13" ht="14.25" customHeight="1" x14ac:dyDescent="0.35">
      <c r="A57" s="23" t="s">
        <v>90</v>
      </c>
      <c r="B57" s="23" t="s">
        <v>58</v>
      </c>
      <c r="C57" s="23">
        <v>83</v>
      </c>
      <c r="D57" s="24" t="str" cm="1">
        <f t="array" ref="D57">_xlfn.IFS(CallData[[#This Row],[Duration]]&lt;=15,"Very short",CallData[[#This Row],[Duration]]&lt;=30,"Short",CallData[[#This Row],[Duration]]&lt;=60,"Medium",CallData[[#This Row],[Duration]]&gt;60,"Long")</f>
        <v>Long</v>
      </c>
      <c r="E57" s="24" t="s">
        <v>24</v>
      </c>
      <c r="F57" s="25">
        <v>44948</v>
      </c>
      <c r="G57" s="26">
        <v>28</v>
      </c>
      <c r="H57" s="26" t="str" cm="1">
        <f t="array" ref="H57">_xlfn.IFS(CallData[[#This Row],[Purchase Amount]]&lt;=50,"Low",CallData[[#This Row],[Purchase Amount]]&lt;=100,"Medium",CallData[[#This Row],[Purchase Amount]]&lt;=150,"High",CallData[[#This Row],[Purchase Amount]]&gt;150,"Very High")</f>
        <v>Low</v>
      </c>
      <c r="I57" s="23">
        <v>4.5</v>
      </c>
      <c r="J57" s="23">
        <f>IF(MONTH('Call Data'!$F57)&lt;=6, YEAR('Call Data'!$F57), YEAR('Call Data'!$F57)+1)</f>
        <v>2023</v>
      </c>
      <c r="K57" s="23" t="str">
        <f>TEXT('Call Data'!$F57,"DDDD")</f>
        <v>Sunday</v>
      </c>
      <c r="L57" s="23" t="s">
        <v>14</v>
      </c>
      <c r="M57" s="23">
        <f>ROUND('Call Data'!$I57,0)</f>
        <v>5</v>
      </c>
    </row>
    <row r="58" spans="1:13" ht="14.25" customHeight="1" x14ac:dyDescent="0.35">
      <c r="A58" s="23" t="s">
        <v>91</v>
      </c>
      <c r="B58" s="23" t="s">
        <v>88</v>
      </c>
      <c r="C58" s="23">
        <v>58</v>
      </c>
      <c r="D58" s="24" t="str" cm="1">
        <f t="array" ref="D58">_xlfn.IFS(CallData[[#This Row],[Duration]]&lt;=15,"Very short",CallData[[#This Row],[Duration]]&lt;=30,"Short",CallData[[#This Row],[Duration]]&lt;=60,"Medium",CallData[[#This Row],[Duration]]&gt;60,"Long")</f>
        <v>Medium</v>
      </c>
      <c r="E58" s="24" t="s">
        <v>19</v>
      </c>
      <c r="F58" s="25">
        <v>44949</v>
      </c>
      <c r="G58" s="26">
        <v>135</v>
      </c>
      <c r="H58" s="26" t="str" cm="1">
        <f t="array" ref="H58">_xlfn.IFS(CallData[[#This Row],[Purchase Amount]]&lt;=50,"Low",CallData[[#This Row],[Purchase Amount]]&lt;=100,"Medium",CallData[[#This Row],[Purchase Amount]]&lt;=150,"High",CallData[[#This Row],[Purchase Amount]]&gt;150,"Very High")</f>
        <v>High</v>
      </c>
      <c r="I58" s="23">
        <v>3.3</v>
      </c>
      <c r="J58" s="23">
        <f>IF(MONTH('Call Data'!$F58)&lt;=6, YEAR('Call Data'!$F58), YEAR('Call Data'!$F58)+1)</f>
        <v>2023</v>
      </c>
      <c r="K58" s="23" t="str">
        <f>TEXT('Call Data'!$F58,"DDDD")</f>
        <v>Monday</v>
      </c>
      <c r="L58" s="23" t="s">
        <v>27</v>
      </c>
      <c r="M58" s="23">
        <f>ROUND('Call Data'!$I58,0)</f>
        <v>3</v>
      </c>
    </row>
    <row r="59" spans="1:13" ht="14.25" customHeight="1" x14ac:dyDescent="0.35">
      <c r="A59" s="23" t="s">
        <v>92</v>
      </c>
      <c r="B59" s="23" t="s">
        <v>55</v>
      </c>
      <c r="C59" s="23">
        <v>118</v>
      </c>
      <c r="D59" s="24" t="str" cm="1">
        <f t="array" ref="D59">_xlfn.IFS(CallData[[#This Row],[Duration]]&lt;=15,"Very short",CallData[[#This Row],[Duration]]&lt;=30,"Short",CallData[[#This Row],[Duration]]&lt;=60,"Medium",CallData[[#This Row],[Duration]]&gt;60,"Long")</f>
        <v>Long</v>
      </c>
      <c r="E59" s="24" t="s">
        <v>19</v>
      </c>
      <c r="F59" s="25">
        <v>44949</v>
      </c>
      <c r="G59" s="26">
        <v>126</v>
      </c>
      <c r="H59" s="26" t="str" cm="1">
        <f t="array" ref="H59">_xlfn.IFS(CallData[[#This Row],[Purchase Amount]]&lt;=50,"Low",CallData[[#This Row],[Purchase Amount]]&lt;=100,"Medium",CallData[[#This Row],[Purchase Amount]]&lt;=150,"High",CallData[[#This Row],[Purchase Amount]]&gt;150,"Very High")</f>
        <v>High</v>
      </c>
      <c r="I59" s="23">
        <v>2.2999999999999998</v>
      </c>
      <c r="J59" s="23">
        <f>IF(MONTH('Call Data'!$F59)&lt;=6, YEAR('Call Data'!$F59), YEAR('Call Data'!$F59)+1)</f>
        <v>2023</v>
      </c>
      <c r="K59" s="23" t="str">
        <f>TEXT('Call Data'!$F59,"DDDD")</f>
        <v>Monday</v>
      </c>
      <c r="L59" s="23" t="s">
        <v>14</v>
      </c>
      <c r="M59" s="23">
        <f>ROUND('Call Data'!$I59,0)</f>
        <v>2</v>
      </c>
    </row>
    <row r="60" spans="1:13" ht="14.25" customHeight="1" x14ac:dyDescent="0.35">
      <c r="A60" s="23" t="s">
        <v>93</v>
      </c>
      <c r="B60" s="23" t="s">
        <v>23</v>
      </c>
      <c r="C60" s="23">
        <v>63</v>
      </c>
      <c r="D60" s="24" t="str" cm="1">
        <f t="array" ref="D60">_xlfn.IFS(CallData[[#This Row],[Duration]]&lt;=15,"Very short",CallData[[#This Row],[Duration]]&lt;=30,"Short",CallData[[#This Row],[Duration]]&lt;=60,"Medium",CallData[[#This Row],[Duration]]&gt;60,"Long")</f>
        <v>Long</v>
      </c>
      <c r="E60" s="24" t="s">
        <v>13</v>
      </c>
      <c r="F60" s="25">
        <v>44949</v>
      </c>
      <c r="G60" s="26">
        <v>160</v>
      </c>
      <c r="H60" s="26" t="str" cm="1">
        <f t="array" ref="H60">_xlfn.IFS(CallData[[#This Row],[Purchase Amount]]&lt;=50,"Low",CallData[[#This Row],[Purchase Amount]]&lt;=100,"Medium",CallData[[#This Row],[Purchase Amount]]&lt;=150,"High",CallData[[#This Row],[Purchase Amount]]&gt;150,"Very High")</f>
        <v>Very High</v>
      </c>
      <c r="I60" s="23">
        <v>4.3</v>
      </c>
      <c r="J60" s="23">
        <f>IF(MONTH('Call Data'!$F60)&lt;=6, YEAR('Call Data'!$F60), YEAR('Call Data'!$F60)+1)</f>
        <v>2023</v>
      </c>
      <c r="K60" s="23" t="str">
        <f>TEXT('Call Data'!$F60,"DDDD")</f>
        <v>Monday</v>
      </c>
      <c r="L60" s="23" t="s">
        <v>14</v>
      </c>
      <c r="M60" s="23">
        <f>ROUND('Call Data'!$I60,0)</f>
        <v>4</v>
      </c>
    </row>
    <row r="61" spans="1:13" ht="14.25" customHeight="1" x14ac:dyDescent="0.35">
      <c r="A61" s="23" t="s">
        <v>94</v>
      </c>
      <c r="B61" s="23" t="s">
        <v>88</v>
      </c>
      <c r="C61" s="23">
        <v>95</v>
      </c>
      <c r="D61" s="24" t="str" cm="1">
        <f t="array" ref="D61">_xlfn.IFS(CallData[[#This Row],[Duration]]&lt;=15,"Very short",CallData[[#This Row],[Duration]]&lt;=30,"Short",CallData[[#This Row],[Duration]]&lt;=60,"Medium",CallData[[#This Row],[Duration]]&gt;60,"Long")</f>
        <v>Long</v>
      </c>
      <c r="E61" s="24" t="s">
        <v>19</v>
      </c>
      <c r="F61" s="25">
        <v>44950</v>
      </c>
      <c r="G61" s="26">
        <v>48</v>
      </c>
      <c r="H61" s="26" t="str" cm="1">
        <f t="array" ref="H61">_xlfn.IFS(CallData[[#This Row],[Purchase Amount]]&lt;=50,"Low",CallData[[#This Row],[Purchase Amount]]&lt;=100,"Medium",CallData[[#This Row],[Purchase Amount]]&lt;=150,"High",CallData[[#This Row],[Purchase Amount]]&gt;150,"Very High")</f>
        <v>Low</v>
      </c>
      <c r="I61" s="23">
        <v>4.5999999999999996</v>
      </c>
      <c r="J61" s="23">
        <f>IF(MONTH('Call Data'!$F61)&lt;=6, YEAR('Call Data'!$F61), YEAR('Call Data'!$F61)+1)</f>
        <v>2023</v>
      </c>
      <c r="K61" s="23" t="str">
        <f>TEXT('Call Data'!$F61,"DDDD")</f>
        <v>Tuesday</v>
      </c>
      <c r="L61" s="23" t="s">
        <v>14</v>
      </c>
      <c r="M61" s="23">
        <f>ROUND('Call Data'!$I61,0)</f>
        <v>5</v>
      </c>
    </row>
    <row r="62" spans="1:13" ht="14.25" customHeight="1" x14ac:dyDescent="0.35">
      <c r="A62" s="23" t="s">
        <v>95</v>
      </c>
      <c r="B62" s="23" t="s">
        <v>38</v>
      </c>
      <c r="C62" s="23">
        <v>74</v>
      </c>
      <c r="D62" s="24" t="str" cm="1">
        <f t="array" ref="D62">_xlfn.IFS(CallData[[#This Row],[Duration]]&lt;=15,"Very short",CallData[[#This Row],[Duration]]&lt;=30,"Short",CallData[[#This Row],[Duration]]&lt;=60,"Medium",CallData[[#This Row],[Duration]]&gt;60,"Long")</f>
        <v>Long</v>
      </c>
      <c r="E62" s="24" t="s">
        <v>24</v>
      </c>
      <c r="F62" s="25">
        <v>44950</v>
      </c>
      <c r="G62" s="26">
        <v>66</v>
      </c>
      <c r="H62" s="26" t="str" cm="1">
        <f t="array" ref="H62">_xlfn.IFS(CallData[[#This Row],[Purchase Amount]]&lt;=50,"Low",CallData[[#This Row],[Purchase Amount]]&lt;=100,"Medium",CallData[[#This Row],[Purchase Amount]]&lt;=150,"High",CallData[[#This Row],[Purchase Amount]]&gt;150,"Very High")</f>
        <v>Medium</v>
      </c>
      <c r="I62" s="23">
        <v>4</v>
      </c>
      <c r="J62" s="23">
        <f>IF(MONTH('Call Data'!$F62)&lt;=6, YEAR('Call Data'!$F62), YEAR('Call Data'!$F62)+1)</f>
        <v>2023</v>
      </c>
      <c r="K62" s="23" t="str">
        <f>TEXT('Call Data'!$F62,"DDDD")</f>
        <v>Tuesday</v>
      </c>
      <c r="L62" s="23" t="s">
        <v>14</v>
      </c>
      <c r="M62" s="23">
        <f>ROUND('Call Data'!$I62,0)</f>
        <v>4</v>
      </c>
    </row>
    <row r="63" spans="1:13" ht="14.25" customHeight="1" x14ac:dyDescent="0.35">
      <c r="A63" s="23" t="s">
        <v>96</v>
      </c>
      <c r="B63" s="23" t="s">
        <v>34</v>
      </c>
      <c r="C63" s="23">
        <v>130</v>
      </c>
      <c r="D63" s="24" t="str" cm="1">
        <f t="array" ref="D63">_xlfn.IFS(CallData[[#This Row],[Duration]]&lt;=15,"Very short",CallData[[#This Row],[Duration]]&lt;=30,"Short",CallData[[#This Row],[Duration]]&lt;=60,"Medium",CallData[[#This Row],[Duration]]&gt;60,"Long")</f>
        <v>Long</v>
      </c>
      <c r="E63" s="24" t="s">
        <v>31</v>
      </c>
      <c r="F63" s="25">
        <v>44950</v>
      </c>
      <c r="G63" s="26">
        <v>126</v>
      </c>
      <c r="H63" s="26" t="str" cm="1">
        <f t="array" ref="H63">_xlfn.IFS(CallData[[#This Row],[Purchase Amount]]&lt;=50,"Low",CallData[[#This Row],[Purchase Amount]]&lt;=100,"Medium",CallData[[#This Row],[Purchase Amount]]&lt;=150,"High",CallData[[#This Row],[Purchase Amount]]&gt;150,"Very High")</f>
        <v>High</v>
      </c>
      <c r="I63" s="23">
        <v>2.5</v>
      </c>
      <c r="J63" s="23">
        <f>IF(MONTH('Call Data'!$F63)&lt;=6, YEAR('Call Data'!$F63), YEAR('Call Data'!$F63)+1)</f>
        <v>2023</v>
      </c>
      <c r="K63" s="23" t="str">
        <f>TEXT('Call Data'!$F63,"DDDD")</f>
        <v>Tuesday</v>
      </c>
      <c r="L63" s="23" t="s">
        <v>25</v>
      </c>
      <c r="M63" s="23">
        <f>ROUND('Call Data'!$I63,0)</f>
        <v>3</v>
      </c>
    </row>
    <row r="64" spans="1:13" ht="14.25" customHeight="1" x14ac:dyDescent="0.35">
      <c r="A64" s="23" t="s">
        <v>97</v>
      </c>
      <c r="B64" s="23" t="s">
        <v>55</v>
      </c>
      <c r="C64" s="23">
        <v>110</v>
      </c>
      <c r="D64" s="24" t="str" cm="1">
        <f t="array" ref="D64">_xlfn.IFS(CallData[[#This Row],[Duration]]&lt;=15,"Very short",CallData[[#This Row],[Duration]]&lt;=30,"Short",CallData[[#This Row],[Duration]]&lt;=60,"Medium",CallData[[#This Row],[Duration]]&gt;60,"Long")</f>
        <v>Long</v>
      </c>
      <c r="E64" s="24" t="s">
        <v>35</v>
      </c>
      <c r="F64" s="25">
        <v>44950</v>
      </c>
      <c r="G64" s="26">
        <v>96</v>
      </c>
      <c r="H64" s="26" t="str" cm="1">
        <f t="array" ref="H64">_xlfn.IFS(CallData[[#This Row],[Purchase Amount]]&lt;=50,"Low",CallData[[#This Row],[Purchase Amount]]&lt;=100,"Medium",CallData[[#This Row],[Purchase Amount]]&lt;=150,"High",CallData[[#This Row],[Purchase Amount]]&gt;150,"Very High")</f>
        <v>Medium</v>
      </c>
      <c r="I64" s="23">
        <v>5</v>
      </c>
      <c r="J64" s="23">
        <f>IF(MONTH('Call Data'!$F64)&lt;=6, YEAR('Call Data'!$F64), YEAR('Call Data'!$F64)+1)</f>
        <v>2023</v>
      </c>
      <c r="K64" s="23" t="str">
        <f>TEXT('Call Data'!$F64,"DDDD")</f>
        <v>Tuesday</v>
      </c>
      <c r="L64" s="23" t="s">
        <v>14</v>
      </c>
      <c r="M64" s="23">
        <f>ROUND('Call Data'!$I64,0)</f>
        <v>5</v>
      </c>
    </row>
    <row r="65" spans="1:13" ht="14.25" customHeight="1" x14ac:dyDescent="0.35">
      <c r="A65" s="23" t="s">
        <v>98</v>
      </c>
      <c r="B65" s="23" t="s">
        <v>38</v>
      </c>
      <c r="C65" s="23">
        <v>71</v>
      </c>
      <c r="D65" s="24" t="str" cm="1">
        <f t="array" ref="D65">_xlfn.IFS(CallData[[#This Row],[Duration]]&lt;=15,"Very short",CallData[[#This Row],[Duration]]&lt;=30,"Short",CallData[[#This Row],[Duration]]&lt;=60,"Medium",CallData[[#This Row],[Duration]]&gt;60,"Long")</f>
        <v>Long</v>
      </c>
      <c r="E65" s="24" t="s">
        <v>13</v>
      </c>
      <c r="F65" s="25">
        <v>44951</v>
      </c>
      <c r="G65" s="26">
        <v>90</v>
      </c>
      <c r="H65" s="26" t="str" cm="1">
        <f t="array" ref="H65">_xlfn.IFS(CallData[[#This Row],[Purchase Amount]]&lt;=50,"Low",CallData[[#This Row],[Purchase Amount]]&lt;=100,"Medium",CallData[[#This Row],[Purchase Amount]]&lt;=150,"High",CallData[[#This Row],[Purchase Amount]]&gt;150,"Very High")</f>
        <v>Medium</v>
      </c>
      <c r="I65" s="23">
        <v>3.8</v>
      </c>
      <c r="J65" s="23">
        <f>IF(MONTH('Call Data'!$F65)&lt;=6, YEAR('Call Data'!$F65), YEAR('Call Data'!$F65)+1)</f>
        <v>2023</v>
      </c>
      <c r="K65" s="23" t="str">
        <f>TEXT('Call Data'!$F65,"DDDD")</f>
        <v>Wednesday</v>
      </c>
      <c r="L65" s="23" t="s">
        <v>14</v>
      </c>
      <c r="M65" s="23">
        <f>ROUND('Call Data'!$I65,0)</f>
        <v>4</v>
      </c>
    </row>
    <row r="66" spans="1:13" ht="14.25" customHeight="1" x14ac:dyDescent="0.35">
      <c r="A66" s="23" t="s">
        <v>99</v>
      </c>
      <c r="B66" s="23" t="s">
        <v>68</v>
      </c>
      <c r="C66" s="23">
        <v>147</v>
      </c>
      <c r="D66" s="24" t="str" cm="1">
        <f t="array" ref="D66">_xlfn.IFS(CallData[[#This Row],[Duration]]&lt;=15,"Very short",CallData[[#This Row],[Duration]]&lt;=30,"Short",CallData[[#This Row],[Duration]]&lt;=60,"Medium",CallData[[#This Row],[Duration]]&gt;60,"Long")</f>
        <v>Long</v>
      </c>
      <c r="E66" s="24" t="s">
        <v>31</v>
      </c>
      <c r="F66" s="25">
        <v>44951</v>
      </c>
      <c r="G66" s="26">
        <v>105</v>
      </c>
      <c r="H66" s="26" t="str" cm="1">
        <f t="array" ref="H66">_xlfn.IFS(CallData[[#This Row],[Purchase Amount]]&lt;=50,"Low",CallData[[#This Row],[Purchase Amount]]&lt;=100,"Medium",CallData[[#This Row],[Purchase Amount]]&lt;=150,"High",CallData[[#This Row],[Purchase Amount]]&gt;150,"Very High")</f>
        <v>High</v>
      </c>
      <c r="I66" s="23">
        <v>4.4000000000000004</v>
      </c>
      <c r="J66" s="23">
        <f>IF(MONTH('Call Data'!$F66)&lt;=6, YEAR('Call Data'!$F66), YEAR('Call Data'!$F66)+1)</f>
        <v>2023</v>
      </c>
      <c r="K66" s="23" t="str">
        <f>TEXT('Call Data'!$F66,"DDDD")</f>
        <v>Wednesday</v>
      </c>
      <c r="L66" s="23" t="s">
        <v>25</v>
      </c>
      <c r="M66" s="23">
        <f>ROUND('Call Data'!$I66,0)</f>
        <v>4</v>
      </c>
    </row>
    <row r="67" spans="1:13" ht="14.25" customHeight="1" x14ac:dyDescent="0.35">
      <c r="A67" s="23" t="s">
        <v>100</v>
      </c>
      <c r="B67" s="23" t="s">
        <v>16</v>
      </c>
      <c r="C67" s="23">
        <v>69</v>
      </c>
      <c r="D67" s="24" t="str" cm="1">
        <f t="array" ref="D67">_xlfn.IFS(CallData[[#This Row],[Duration]]&lt;=15,"Very short",CallData[[#This Row],[Duration]]&lt;=30,"Short",CallData[[#This Row],[Duration]]&lt;=60,"Medium",CallData[[#This Row],[Duration]]&gt;60,"Long")</f>
        <v>Long</v>
      </c>
      <c r="E67" s="24" t="s">
        <v>19</v>
      </c>
      <c r="F67" s="25">
        <v>44952</v>
      </c>
      <c r="G67" s="26">
        <v>40</v>
      </c>
      <c r="H67" s="26" t="str" cm="1">
        <f t="array" ref="H67">_xlfn.IFS(CallData[[#This Row],[Purchase Amount]]&lt;=50,"Low",CallData[[#This Row],[Purchase Amount]]&lt;=100,"Medium",CallData[[#This Row],[Purchase Amount]]&lt;=150,"High",CallData[[#This Row],[Purchase Amount]]&gt;150,"Very High")</f>
        <v>Low</v>
      </c>
      <c r="I67" s="23">
        <v>3.8</v>
      </c>
      <c r="J67" s="23">
        <f>IF(MONTH('Call Data'!$F67)&lt;=6, YEAR('Call Data'!$F67), YEAR('Call Data'!$F67)+1)</f>
        <v>2023</v>
      </c>
      <c r="K67" s="23" t="str">
        <f>TEXT('Call Data'!$F67,"DDDD")</f>
        <v>Thursday</v>
      </c>
      <c r="L67" s="23" t="s">
        <v>14</v>
      </c>
      <c r="M67" s="23">
        <f>ROUND('Call Data'!$I67,0)</f>
        <v>4</v>
      </c>
    </row>
    <row r="68" spans="1:13" ht="14.25" customHeight="1" x14ac:dyDescent="0.35">
      <c r="A68" s="23" t="s">
        <v>101</v>
      </c>
      <c r="B68" s="23" t="s">
        <v>55</v>
      </c>
      <c r="C68" s="23">
        <v>50</v>
      </c>
      <c r="D68" s="24" t="str" cm="1">
        <f t="array" ref="D68">_xlfn.IFS(CallData[[#This Row],[Duration]]&lt;=15,"Very short",CallData[[#This Row],[Duration]]&lt;=30,"Short",CallData[[#This Row],[Duration]]&lt;=60,"Medium",CallData[[#This Row],[Duration]]&gt;60,"Long")</f>
        <v>Medium</v>
      </c>
      <c r="E68" s="24" t="s">
        <v>13</v>
      </c>
      <c r="F68" s="25">
        <v>44952</v>
      </c>
      <c r="G68" s="26">
        <v>60</v>
      </c>
      <c r="H68" s="26" t="str" cm="1">
        <f t="array" ref="H68">_xlfn.IFS(CallData[[#This Row],[Purchase Amount]]&lt;=50,"Low",CallData[[#This Row],[Purchase Amount]]&lt;=100,"Medium",CallData[[#This Row],[Purchase Amount]]&lt;=150,"High",CallData[[#This Row],[Purchase Amount]]&gt;150,"Very High")</f>
        <v>Medium</v>
      </c>
      <c r="I68" s="23">
        <v>2</v>
      </c>
      <c r="J68" s="23">
        <f>IF(MONTH('Call Data'!$F68)&lt;=6, YEAR('Call Data'!$F68), YEAR('Call Data'!$F68)+1)</f>
        <v>2023</v>
      </c>
      <c r="K68" s="23" t="str">
        <f>TEXT('Call Data'!$F68,"DDDD")</f>
        <v>Thursday</v>
      </c>
      <c r="L68" s="23" t="s">
        <v>27</v>
      </c>
      <c r="M68" s="23">
        <f>ROUND('Call Data'!$I68,0)</f>
        <v>2</v>
      </c>
    </row>
    <row r="69" spans="1:13" ht="14.25" customHeight="1" x14ac:dyDescent="0.35">
      <c r="A69" s="23" t="s">
        <v>102</v>
      </c>
      <c r="B69" s="23" t="s">
        <v>34</v>
      </c>
      <c r="C69" s="23">
        <v>124</v>
      </c>
      <c r="D69" s="24" t="str" cm="1">
        <f t="array" ref="D69">_xlfn.IFS(CallData[[#This Row],[Duration]]&lt;=15,"Very short",CallData[[#This Row],[Duration]]&lt;=30,"Short",CallData[[#This Row],[Duration]]&lt;=60,"Medium",CallData[[#This Row],[Duration]]&gt;60,"Long")</f>
        <v>Long</v>
      </c>
      <c r="E69" s="24" t="s">
        <v>31</v>
      </c>
      <c r="F69" s="25">
        <v>44953</v>
      </c>
      <c r="G69" s="26">
        <v>215</v>
      </c>
      <c r="H69" s="26" t="str" cm="1">
        <f t="array" ref="H69">_xlfn.IFS(CallData[[#This Row],[Purchase Amount]]&lt;=50,"Low",CallData[[#This Row],[Purchase Amount]]&lt;=100,"Medium",CallData[[#This Row],[Purchase Amount]]&lt;=150,"High",CallData[[#This Row],[Purchase Amount]]&gt;150,"Very High")</f>
        <v>Very High</v>
      </c>
      <c r="I69" s="23">
        <v>4.0999999999999996</v>
      </c>
      <c r="J69" s="23">
        <f>IF(MONTH('Call Data'!$F69)&lt;=6, YEAR('Call Data'!$F69), YEAR('Call Data'!$F69)+1)</f>
        <v>2023</v>
      </c>
      <c r="K69" s="23" t="str">
        <f>TEXT('Call Data'!$F69,"DDDD")</f>
        <v>Friday</v>
      </c>
      <c r="L69" s="23" t="s">
        <v>25</v>
      </c>
      <c r="M69" s="23">
        <f>ROUND('Call Data'!$I69,0)</f>
        <v>4</v>
      </c>
    </row>
    <row r="70" spans="1:13" ht="14.25" customHeight="1" x14ac:dyDescent="0.35">
      <c r="A70" s="23" t="s">
        <v>103</v>
      </c>
      <c r="B70" s="23" t="s">
        <v>18</v>
      </c>
      <c r="C70" s="23">
        <v>81</v>
      </c>
      <c r="D70" s="24" t="str" cm="1">
        <f t="array" ref="D70">_xlfn.IFS(CallData[[#This Row],[Duration]]&lt;=15,"Very short",CallData[[#This Row],[Duration]]&lt;=30,"Short",CallData[[#This Row],[Duration]]&lt;=60,"Medium",CallData[[#This Row],[Duration]]&gt;60,"Long")</f>
        <v>Long</v>
      </c>
      <c r="E70" s="24" t="s">
        <v>24</v>
      </c>
      <c r="F70" s="25">
        <v>44953</v>
      </c>
      <c r="G70" s="26">
        <v>156</v>
      </c>
      <c r="H70" s="26" t="str" cm="1">
        <f t="array" ref="H70">_xlfn.IFS(CallData[[#This Row],[Purchase Amount]]&lt;=50,"Low",CallData[[#This Row],[Purchase Amount]]&lt;=100,"Medium",CallData[[#This Row],[Purchase Amount]]&lt;=150,"High",CallData[[#This Row],[Purchase Amount]]&gt;150,"Very High")</f>
        <v>Very High</v>
      </c>
      <c r="I70" s="23">
        <v>2.6</v>
      </c>
      <c r="J70" s="23">
        <f>IF(MONTH('Call Data'!$F70)&lt;=6, YEAR('Call Data'!$F70), YEAR('Call Data'!$F70)+1)</f>
        <v>2023</v>
      </c>
      <c r="K70" s="23" t="str">
        <f>TEXT('Call Data'!$F70,"DDDD")</f>
        <v>Friday</v>
      </c>
      <c r="L70" s="23" t="s">
        <v>14</v>
      </c>
      <c r="M70" s="23">
        <f>ROUND('Call Data'!$I70,0)</f>
        <v>3</v>
      </c>
    </row>
    <row r="71" spans="1:13" ht="14.25" customHeight="1" x14ac:dyDescent="0.35">
      <c r="A71" s="23" t="s">
        <v>104</v>
      </c>
      <c r="B71" s="23" t="s">
        <v>50</v>
      </c>
      <c r="C71" s="23">
        <v>141</v>
      </c>
      <c r="D71" s="24" t="str" cm="1">
        <f t="array" ref="D71">_xlfn.IFS(CallData[[#This Row],[Duration]]&lt;=15,"Very short",CallData[[#This Row],[Duration]]&lt;=30,"Short",CallData[[#This Row],[Duration]]&lt;=60,"Medium",CallData[[#This Row],[Duration]]&gt;60,"Long")</f>
        <v>Long</v>
      </c>
      <c r="E71" s="24" t="s">
        <v>35</v>
      </c>
      <c r="F71" s="25">
        <v>44953</v>
      </c>
      <c r="G71" s="26">
        <v>54</v>
      </c>
      <c r="H71" s="26" t="str" cm="1">
        <f t="array" ref="H71">_xlfn.IFS(CallData[[#This Row],[Purchase Amount]]&lt;=50,"Low",CallData[[#This Row],[Purchase Amount]]&lt;=100,"Medium",CallData[[#This Row],[Purchase Amount]]&lt;=150,"High",CallData[[#This Row],[Purchase Amount]]&gt;150,"Very High")</f>
        <v>Medium</v>
      </c>
      <c r="I71" s="23">
        <v>0</v>
      </c>
      <c r="J71" s="23">
        <f>IF(MONTH('Call Data'!$F71)&lt;=6, YEAR('Call Data'!$F71), YEAR('Call Data'!$F71)+1)</f>
        <v>2023</v>
      </c>
      <c r="K71" s="23" t="str">
        <f>TEXT('Call Data'!$F71,"DDDD")</f>
        <v>Friday</v>
      </c>
      <c r="L71" s="23" t="s">
        <v>25</v>
      </c>
      <c r="M71" s="23">
        <f>ROUND('Call Data'!$I71,0)</f>
        <v>0</v>
      </c>
    </row>
    <row r="72" spans="1:13" ht="14.25" customHeight="1" x14ac:dyDescent="0.35">
      <c r="A72" s="23" t="s">
        <v>105</v>
      </c>
      <c r="B72" s="23" t="s">
        <v>50</v>
      </c>
      <c r="C72" s="23">
        <v>168</v>
      </c>
      <c r="D72" s="24" t="str" cm="1">
        <f t="array" ref="D72">_xlfn.IFS(CallData[[#This Row],[Duration]]&lt;=15,"Very short",CallData[[#This Row],[Duration]]&lt;=30,"Short",CallData[[#This Row],[Duration]]&lt;=60,"Medium",CallData[[#This Row],[Duration]]&gt;60,"Long")</f>
        <v>Long</v>
      </c>
      <c r="E72" s="24" t="s">
        <v>35</v>
      </c>
      <c r="F72" s="25">
        <v>44954</v>
      </c>
      <c r="G72" s="26">
        <v>160</v>
      </c>
      <c r="H72" s="26" t="str" cm="1">
        <f t="array" ref="H72">_xlfn.IFS(CallData[[#This Row],[Purchase Amount]]&lt;=50,"Low",CallData[[#This Row],[Purchase Amount]]&lt;=100,"Medium",CallData[[#This Row],[Purchase Amount]]&lt;=150,"High",CallData[[#This Row],[Purchase Amount]]&gt;150,"Very High")</f>
        <v>Very High</v>
      </c>
      <c r="I72" s="23">
        <v>3.9</v>
      </c>
      <c r="J72" s="23">
        <f>IF(MONTH('Call Data'!$F72)&lt;=6, YEAR('Call Data'!$F72), YEAR('Call Data'!$F72)+1)</f>
        <v>2023</v>
      </c>
      <c r="K72" s="23" t="str">
        <f>TEXT('Call Data'!$F72,"DDDD")</f>
        <v>Saturday</v>
      </c>
      <c r="L72" s="23" t="s">
        <v>25</v>
      </c>
      <c r="M72" s="23">
        <f>ROUND('Call Data'!$I72,0)</f>
        <v>4</v>
      </c>
    </row>
    <row r="73" spans="1:13" ht="14.25" customHeight="1" x14ac:dyDescent="0.35">
      <c r="A73" s="23" t="s">
        <v>106</v>
      </c>
      <c r="B73" s="23" t="s">
        <v>68</v>
      </c>
      <c r="C73" s="23">
        <v>101</v>
      </c>
      <c r="D73" s="24" t="str" cm="1">
        <f t="array" ref="D73">_xlfn.IFS(CallData[[#This Row],[Duration]]&lt;=15,"Very short",CallData[[#This Row],[Duration]]&lt;=30,"Short",CallData[[#This Row],[Duration]]&lt;=60,"Medium",CallData[[#This Row],[Duration]]&gt;60,"Long")</f>
        <v>Long</v>
      </c>
      <c r="E73" s="24" t="s">
        <v>24</v>
      </c>
      <c r="F73" s="25">
        <v>44954</v>
      </c>
      <c r="G73" s="26">
        <v>80</v>
      </c>
      <c r="H73" s="26" t="str" cm="1">
        <f t="array" ref="H73">_xlfn.IFS(CallData[[#This Row],[Purchase Amount]]&lt;=50,"Low",CallData[[#This Row],[Purchase Amount]]&lt;=100,"Medium",CallData[[#This Row],[Purchase Amount]]&lt;=150,"High",CallData[[#This Row],[Purchase Amount]]&gt;150,"Very High")</f>
        <v>Medium</v>
      </c>
      <c r="I73" s="23">
        <v>4.8</v>
      </c>
      <c r="J73" s="23">
        <f>IF(MONTH('Call Data'!$F73)&lt;=6, YEAR('Call Data'!$F73), YEAR('Call Data'!$F73)+1)</f>
        <v>2023</v>
      </c>
      <c r="K73" s="23" t="str">
        <f>TEXT('Call Data'!$F73,"DDDD")</f>
        <v>Saturday</v>
      </c>
      <c r="L73" s="23" t="s">
        <v>14</v>
      </c>
      <c r="M73" s="23">
        <f>ROUND('Call Data'!$I73,0)</f>
        <v>5</v>
      </c>
    </row>
    <row r="74" spans="1:13" ht="14.25" customHeight="1" x14ac:dyDescent="0.35">
      <c r="A74" s="23" t="s">
        <v>107</v>
      </c>
      <c r="B74" s="23" t="s">
        <v>38</v>
      </c>
      <c r="C74" s="23">
        <v>67</v>
      </c>
      <c r="D74" s="24" t="str" cm="1">
        <f t="array" ref="D74">_xlfn.IFS(CallData[[#This Row],[Duration]]&lt;=15,"Very short",CallData[[#This Row],[Duration]]&lt;=30,"Short",CallData[[#This Row],[Duration]]&lt;=60,"Medium",CallData[[#This Row],[Duration]]&gt;60,"Long")</f>
        <v>Long</v>
      </c>
      <c r="E74" s="24" t="s">
        <v>24</v>
      </c>
      <c r="F74" s="25">
        <v>44954</v>
      </c>
      <c r="G74" s="26">
        <v>168</v>
      </c>
      <c r="H74" s="26" t="str" cm="1">
        <f t="array" ref="H74">_xlfn.IFS(CallData[[#This Row],[Purchase Amount]]&lt;=50,"Low",CallData[[#This Row],[Purchase Amount]]&lt;=100,"Medium",CallData[[#This Row],[Purchase Amount]]&lt;=150,"High",CallData[[#This Row],[Purchase Amount]]&gt;150,"Very High")</f>
        <v>Very High</v>
      </c>
      <c r="I74" s="23">
        <v>2.6</v>
      </c>
      <c r="J74" s="23">
        <f>IF(MONTH('Call Data'!$F74)&lt;=6, YEAR('Call Data'!$F74), YEAR('Call Data'!$F74)+1)</f>
        <v>2023</v>
      </c>
      <c r="K74" s="23" t="str">
        <f>TEXT('Call Data'!$F74,"DDDD")</f>
        <v>Saturday</v>
      </c>
      <c r="L74" s="23" t="s">
        <v>14</v>
      </c>
      <c r="M74" s="23">
        <f>ROUND('Call Data'!$I74,0)</f>
        <v>3</v>
      </c>
    </row>
    <row r="75" spans="1:13" ht="14.25" customHeight="1" x14ac:dyDescent="0.35">
      <c r="A75" s="23" t="s">
        <v>108</v>
      </c>
      <c r="B75" s="23" t="s">
        <v>88</v>
      </c>
      <c r="C75" s="23">
        <v>114</v>
      </c>
      <c r="D75" s="24" t="str" cm="1">
        <f t="array" ref="D75">_xlfn.IFS(CallData[[#This Row],[Duration]]&lt;=15,"Very short",CallData[[#This Row],[Duration]]&lt;=30,"Short",CallData[[#This Row],[Duration]]&lt;=60,"Medium",CallData[[#This Row],[Duration]]&gt;60,"Long")</f>
        <v>Long</v>
      </c>
      <c r="E75" s="24" t="s">
        <v>35</v>
      </c>
      <c r="F75" s="25">
        <v>44956</v>
      </c>
      <c r="G75" s="26">
        <v>42</v>
      </c>
      <c r="H75" s="26" t="str" cm="1">
        <f t="array" ref="H75">_xlfn.IFS(CallData[[#This Row],[Purchase Amount]]&lt;=50,"Low",CallData[[#This Row],[Purchase Amount]]&lt;=100,"Medium",CallData[[#This Row],[Purchase Amount]]&lt;=150,"High",CallData[[#This Row],[Purchase Amount]]&gt;150,"Very High")</f>
        <v>Low</v>
      </c>
      <c r="I75" s="23">
        <v>2.6</v>
      </c>
      <c r="J75" s="23">
        <f>IF(MONTH('Call Data'!$F75)&lt;=6, YEAR('Call Data'!$F75), YEAR('Call Data'!$F75)+1)</f>
        <v>2023</v>
      </c>
      <c r="K75" s="23" t="str">
        <f>TEXT('Call Data'!$F75,"DDDD")</f>
        <v>Monday</v>
      </c>
      <c r="L75" s="23" t="s">
        <v>14</v>
      </c>
      <c r="M75" s="23">
        <f>ROUND('Call Data'!$I75,0)</f>
        <v>3</v>
      </c>
    </row>
    <row r="76" spans="1:13" ht="14.25" customHeight="1" x14ac:dyDescent="0.35">
      <c r="A76" s="23" t="s">
        <v>109</v>
      </c>
      <c r="B76" s="23" t="s">
        <v>18</v>
      </c>
      <c r="C76" s="23">
        <v>42</v>
      </c>
      <c r="D76" s="24" t="str" cm="1">
        <f t="array" ref="D76">_xlfn.IFS(CallData[[#This Row],[Duration]]&lt;=15,"Very short",CallData[[#This Row],[Duration]]&lt;=30,"Short",CallData[[#This Row],[Duration]]&lt;=60,"Medium",CallData[[#This Row],[Duration]]&gt;60,"Long")</f>
        <v>Medium</v>
      </c>
      <c r="E76" s="24" t="s">
        <v>24</v>
      </c>
      <c r="F76" s="25">
        <v>44956</v>
      </c>
      <c r="G76" s="26">
        <v>205</v>
      </c>
      <c r="H76" s="26" t="str" cm="1">
        <f t="array" ref="H76">_xlfn.IFS(CallData[[#This Row],[Purchase Amount]]&lt;=50,"Low",CallData[[#This Row],[Purchase Amount]]&lt;=100,"Medium",CallData[[#This Row],[Purchase Amount]]&lt;=150,"High",CallData[[#This Row],[Purchase Amount]]&gt;150,"Very High")</f>
        <v>Very High</v>
      </c>
      <c r="I76" s="23">
        <v>3.6</v>
      </c>
      <c r="J76" s="23">
        <f>IF(MONTH('Call Data'!$F76)&lt;=6, YEAR('Call Data'!$F76), YEAR('Call Data'!$F76)+1)</f>
        <v>2023</v>
      </c>
      <c r="K76" s="23" t="str">
        <f>TEXT('Call Data'!$F76,"DDDD")</f>
        <v>Monday</v>
      </c>
      <c r="L76" s="23" t="s">
        <v>27</v>
      </c>
      <c r="M76" s="23">
        <f>ROUND('Call Data'!$I76,0)</f>
        <v>4</v>
      </c>
    </row>
    <row r="77" spans="1:13" ht="14.25" customHeight="1" x14ac:dyDescent="0.35">
      <c r="A77" s="23" t="s">
        <v>110</v>
      </c>
      <c r="B77" s="23" t="s">
        <v>23</v>
      </c>
      <c r="C77" s="23">
        <v>69</v>
      </c>
      <c r="D77" s="24" t="str" cm="1">
        <f t="array" ref="D77">_xlfn.IFS(CallData[[#This Row],[Duration]]&lt;=15,"Very short",CallData[[#This Row],[Duration]]&lt;=30,"Short",CallData[[#This Row],[Duration]]&lt;=60,"Medium",CallData[[#This Row],[Duration]]&gt;60,"Long")</f>
        <v>Long</v>
      </c>
      <c r="E77" s="24" t="s">
        <v>35</v>
      </c>
      <c r="F77" s="25">
        <v>44956</v>
      </c>
      <c r="G77" s="26">
        <v>108</v>
      </c>
      <c r="H77" s="26" t="str" cm="1">
        <f t="array" ref="H77">_xlfn.IFS(CallData[[#This Row],[Purchase Amount]]&lt;=50,"Low",CallData[[#This Row],[Purchase Amount]]&lt;=100,"Medium",CallData[[#This Row],[Purchase Amount]]&lt;=150,"High",CallData[[#This Row],[Purchase Amount]]&gt;150,"Very High")</f>
        <v>High</v>
      </c>
      <c r="I77" s="23">
        <v>3.3</v>
      </c>
      <c r="J77" s="23">
        <f>IF(MONTH('Call Data'!$F77)&lt;=6, YEAR('Call Data'!$F77), YEAR('Call Data'!$F77)+1)</f>
        <v>2023</v>
      </c>
      <c r="K77" s="23" t="str">
        <f>TEXT('Call Data'!$F77,"DDDD")</f>
        <v>Monday</v>
      </c>
      <c r="L77" s="23" t="s">
        <v>14</v>
      </c>
      <c r="M77" s="23">
        <f>ROUND('Call Data'!$I77,0)</f>
        <v>3</v>
      </c>
    </row>
    <row r="78" spans="1:13" ht="14.25" customHeight="1" x14ac:dyDescent="0.35">
      <c r="A78" s="23" t="s">
        <v>111</v>
      </c>
      <c r="B78" s="23" t="s">
        <v>34</v>
      </c>
      <c r="C78" s="23">
        <v>145</v>
      </c>
      <c r="D78" s="24" t="str" cm="1">
        <f t="array" ref="D78">_xlfn.IFS(CallData[[#This Row],[Duration]]&lt;=15,"Very short",CallData[[#This Row],[Duration]]&lt;=30,"Short",CallData[[#This Row],[Duration]]&lt;=60,"Medium",CallData[[#This Row],[Duration]]&gt;60,"Long")</f>
        <v>Long</v>
      </c>
      <c r="E78" s="24" t="s">
        <v>19</v>
      </c>
      <c r="F78" s="25">
        <v>44956</v>
      </c>
      <c r="G78" s="26">
        <v>78</v>
      </c>
      <c r="H78" s="26" t="str" cm="1">
        <f t="array" ref="H78">_xlfn.IFS(CallData[[#This Row],[Purchase Amount]]&lt;=50,"Low",CallData[[#This Row],[Purchase Amount]]&lt;=100,"Medium",CallData[[#This Row],[Purchase Amount]]&lt;=150,"High",CallData[[#This Row],[Purchase Amount]]&gt;150,"Very High")</f>
        <v>Medium</v>
      </c>
      <c r="I78" s="23">
        <v>1.9</v>
      </c>
      <c r="J78" s="23">
        <f>IF(MONTH('Call Data'!$F78)&lt;=6, YEAR('Call Data'!$F78), YEAR('Call Data'!$F78)+1)</f>
        <v>2023</v>
      </c>
      <c r="K78" s="23" t="str">
        <f>TEXT('Call Data'!$F78,"DDDD")</f>
        <v>Monday</v>
      </c>
      <c r="L78" s="23" t="s">
        <v>25</v>
      </c>
      <c r="M78" s="23">
        <f>ROUND('Call Data'!$I78,0)</f>
        <v>2</v>
      </c>
    </row>
    <row r="79" spans="1:13" ht="14.25" customHeight="1" x14ac:dyDescent="0.35">
      <c r="A79" s="23" t="s">
        <v>112</v>
      </c>
      <c r="B79" s="23" t="s">
        <v>16</v>
      </c>
      <c r="C79" s="23">
        <v>43</v>
      </c>
      <c r="D79" s="24" t="str" cm="1">
        <f t="array" ref="D79">_xlfn.IFS(CallData[[#This Row],[Duration]]&lt;=15,"Very short",CallData[[#This Row],[Duration]]&lt;=30,"Short",CallData[[#This Row],[Duration]]&lt;=60,"Medium",CallData[[#This Row],[Duration]]&gt;60,"Long")</f>
        <v>Medium</v>
      </c>
      <c r="E79" s="24" t="s">
        <v>35</v>
      </c>
      <c r="F79" s="25">
        <v>44956</v>
      </c>
      <c r="G79" s="26">
        <v>23</v>
      </c>
      <c r="H79" s="26" t="str" cm="1">
        <f t="array" ref="H79">_xlfn.IFS(CallData[[#This Row],[Purchase Amount]]&lt;=50,"Low",CallData[[#This Row],[Purchase Amount]]&lt;=100,"Medium",CallData[[#This Row],[Purchase Amount]]&lt;=150,"High",CallData[[#This Row],[Purchase Amount]]&gt;150,"Very High")</f>
        <v>Low</v>
      </c>
      <c r="I79" s="23">
        <v>4.9000000000000004</v>
      </c>
      <c r="J79" s="23">
        <f>IF(MONTH('Call Data'!$F79)&lt;=6, YEAR('Call Data'!$F79), YEAR('Call Data'!$F79)+1)</f>
        <v>2023</v>
      </c>
      <c r="K79" s="23" t="str">
        <f>TEXT('Call Data'!$F79,"DDDD")</f>
        <v>Monday</v>
      </c>
      <c r="L79" s="23" t="s">
        <v>27</v>
      </c>
      <c r="M79" s="23">
        <f>ROUND('Call Data'!$I79,0)</f>
        <v>5</v>
      </c>
    </row>
    <row r="80" spans="1:13" ht="14.25" customHeight="1" x14ac:dyDescent="0.35">
      <c r="A80" s="23" t="s">
        <v>113</v>
      </c>
      <c r="B80" s="23" t="s">
        <v>23</v>
      </c>
      <c r="C80" s="23">
        <v>62</v>
      </c>
      <c r="D80" s="24" t="str" cm="1">
        <f t="array" ref="D80">_xlfn.IFS(CallData[[#This Row],[Duration]]&lt;=15,"Very short",CallData[[#This Row],[Duration]]&lt;=30,"Short",CallData[[#This Row],[Duration]]&lt;=60,"Medium",CallData[[#This Row],[Duration]]&gt;60,"Long")</f>
        <v>Long</v>
      </c>
      <c r="E80" s="24" t="s">
        <v>13</v>
      </c>
      <c r="F80" s="25">
        <v>44957</v>
      </c>
      <c r="G80" s="26">
        <v>99</v>
      </c>
      <c r="H80" s="26" t="str" cm="1">
        <f t="array" ref="H80">_xlfn.IFS(CallData[[#This Row],[Purchase Amount]]&lt;=50,"Low",CallData[[#This Row],[Purchase Amount]]&lt;=100,"Medium",CallData[[#This Row],[Purchase Amount]]&lt;=150,"High",CallData[[#This Row],[Purchase Amount]]&gt;150,"Very High")</f>
        <v>Medium</v>
      </c>
      <c r="I80" s="23">
        <v>3.6</v>
      </c>
      <c r="J80" s="23">
        <f>IF(MONTH('Call Data'!$F80)&lt;=6, YEAR('Call Data'!$F80), YEAR('Call Data'!$F80)+1)</f>
        <v>2023</v>
      </c>
      <c r="K80" s="23" t="str">
        <f>TEXT('Call Data'!$F80,"DDDD")</f>
        <v>Tuesday</v>
      </c>
      <c r="L80" s="23" t="s">
        <v>14</v>
      </c>
      <c r="M80" s="23">
        <f>ROUND('Call Data'!$I80,0)</f>
        <v>4</v>
      </c>
    </row>
    <row r="81" spans="1:13" ht="14.25" customHeight="1" x14ac:dyDescent="0.35">
      <c r="A81" s="23" t="s">
        <v>114</v>
      </c>
      <c r="B81" s="23" t="s">
        <v>46</v>
      </c>
      <c r="C81" s="23">
        <v>79</v>
      </c>
      <c r="D81" s="24" t="str" cm="1">
        <f t="array" ref="D81">_xlfn.IFS(CallData[[#This Row],[Duration]]&lt;=15,"Very short",CallData[[#This Row],[Duration]]&lt;=30,"Short",CallData[[#This Row],[Duration]]&lt;=60,"Medium",CallData[[#This Row],[Duration]]&gt;60,"Long")</f>
        <v>Long</v>
      </c>
      <c r="E81" s="24" t="s">
        <v>35</v>
      </c>
      <c r="F81" s="25">
        <v>44958</v>
      </c>
      <c r="G81" s="26">
        <v>148</v>
      </c>
      <c r="H81" s="26" t="str" cm="1">
        <f t="array" ref="H81">_xlfn.IFS(CallData[[#This Row],[Purchase Amount]]&lt;=50,"Low",CallData[[#This Row],[Purchase Amount]]&lt;=100,"Medium",CallData[[#This Row],[Purchase Amount]]&lt;=150,"High",CallData[[#This Row],[Purchase Amount]]&gt;150,"Very High")</f>
        <v>High</v>
      </c>
      <c r="I81" s="23">
        <v>4.5</v>
      </c>
      <c r="J81" s="23">
        <f>IF(MONTH('Call Data'!$F81)&lt;=6, YEAR('Call Data'!$F81), YEAR('Call Data'!$F81)+1)</f>
        <v>2023</v>
      </c>
      <c r="K81" s="23" t="str">
        <f>TEXT('Call Data'!$F81,"DDDD")</f>
        <v>Wednesday</v>
      </c>
      <c r="L81" s="23" t="s">
        <v>14</v>
      </c>
      <c r="M81" s="23">
        <f>ROUND('Call Data'!$I81,0)</f>
        <v>5</v>
      </c>
    </row>
    <row r="82" spans="1:13" ht="14.25" customHeight="1" x14ac:dyDescent="0.35">
      <c r="A82" s="23" t="s">
        <v>115</v>
      </c>
      <c r="B82" s="23" t="s">
        <v>34</v>
      </c>
      <c r="C82" s="23">
        <v>45</v>
      </c>
      <c r="D82" s="24" t="str" cm="1">
        <f t="array" ref="D82">_xlfn.IFS(CallData[[#This Row],[Duration]]&lt;=15,"Very short",CallData[[#This Row],[Duration]]&lt;=30,"Short",CallData[[#This Row],[Duration]]&lt;=60,"Medium",CallData[[#This Row],[Duration]]&gt;60,"Long")</f>
        <v>Medium</v>
      </c>
      <c r="E82" s="24" t="s">
        <v>31</v>
      </c>
      <c r="F82" s="25">
        <v>44958</v>
      </c>
      <c r="G82" s="26">
        <v>34</v>
      </c>
      <c r="H82" s="26" t="str" cm="1">
        <f t="array" ref="H82">_xlfn.IFS(CallData[[#This Row],[Purchase Amount]]&lt;=50,"Low",CallData[[#This Row],[Purchase Amount]]&lt;=100,"Medium",CallData[[#This Row],[Purchase Amount]]&lt;=150,"High",CallData[[#This Row],[Purchase Amount]]&gt;150,"Very High")</f>
        <v>Low</v>
      </c>
      <c r="I82" s="23">
        <v>3.7</v>
      </c>
      <c r="J82" s="23">
        <f>IF(MONTH('Call Data'!$F82)&lt;=6, YEAR('Call Data'!$F82), YEAR('Call Data'!$F82)+1)</f>
        <v>2023</v>
      </c>
      <c r="K82" s="23" t="str">
        <f>TEXT('Call Data'!$F82,"DDDD")</f>
        <v>Wednesday</v>
      </c>
      <c r="L82" s="23" t="s">
        <v>27</v>
      </c>
      <c r="M82" s="23">
        <f>ROUND('Call Data'!$I82,0)</f>
        <v>4</v>
      </c>
    </row>
    <row r="83" spans="1:13" ht="14.25" customHeight="1" x14ac:dyDescent="0.35">
      <c r="A83" s="23" t="s">
        <v>116</v>
      </c>
      <c r="B83" s="23" t="s">
        <v>23</v>
      </c>
      <c r="C83" s="23">
        <v>137</v>
      </c>
      <c r="D83" s="24" t="str" cm="1">
        <f t="array" ref="D83">_xlfn.IFS(CallData[[#This Row],[Duration]]&lt;=15,"Very short",CallData[[#This Row],[Duration]]&lt;=30,"Short",CallData[[#This Row],[Duration]]&lt;=60,"Medium",CallData[[#This Row],[Duration]]&gt;60,"Long")</f>
        <v>Long</v>
      </c>
      <c r="E83" s="24" t="s">
        <v>35</v>
      </c>
      <c r="F83" s="25">
        <v>44958</v>
      </c>
      <c r="G83" s="26">
        <v>86</v>
      </c>
      <c r="H83" s="26" t="str" cm="1">
        <f t="array" ref="H83">_xlfn.IFS(CallData[[#This Row],[Purchase Amount]]&lt;=50,"Low",CallData[[#This Row],[Purchase Amount]]&lt;=100,"Medium",CallData[[#This Row],[Purchase Amount]]&lt;=150,"High",CallData[[#This Row],[Purchase Amount]]&gt;150,"Very High")</f>
        <v>Medium</v>
      </c>
      <c r="I83" s="23">
        <v>4.8</v>
      </c>
      <c r="J83" s="23">
        <f>IF(MONTH('Call Data'!$F83)&lt;=6, YEAR('Call Data'!$F83), YEAR('Call Data'!$F83)+1)</f>
        <v>2023</v>
      </c>
      <c r="K83" s="23" t="str">
        <f>TEXT('Call Data'!$F83,"DDDD")</f>
        <v>Wednesday</v>
      </c>
      <c r="L83" s="23" t="s">
        <v>25</v>
      </c>
      <c r="M83" s="23">
        <f>ROUND('Call Data'!$I83,0)</f>
        <v>5</v>
      </c>
    </row>
    <row r="84" spans="1:13" ht="14.25" customHeight="1" x14ac:dyDescent="0.35">
      <c r="A84" s="23" t="s">
        <v>117</v>
      </c>
      <c r="B84" s="23" t="s">
        <v>88</v>
      </c>
      <c r="C84" s="23">
        <v>109</v>
      </c>
      <c r="D84" s="24" t="str" cm="1">
        <f t="array" ref="D84">_xlfn.IFS(CallData[[#This Row],[Duration]]&lt;=15,"Very short",CallData[[#This Row],[Duration]]&lt;=30,"Short",CallData[[#This Row],[Duration]]&lt;=60,"Medium",CallData[[#This Row],[Duration]]&gt;60,"Long")</f>
        <v>Long</v>
      </c>
      <c r="E84" s="24" t="s">
        <v>13</v>
      </c>
      <c r="F84" s="25">
        <v>44958</v>
      </c>
      <c r="G84" s="26">
        <v>105</v>
      </c>
      <c r="H84" s="26" t="str" cm="1">
        <f t="array" ref="H84">_xlfn.IFS(CallData[[#This Row],[Purchase Amount]]&lt;=50,"Low",CallData[[#This Row],[Purchase Amount]]&lt;=100,"Medium",CallData[[#This Row],[Purchase Amount]]&lt;=150,"High",CallData[[#This Row],[Purchase Amount]]&gt;150,"Very High")</f>
        <v>High</v>
      </c>
      <c r="I84" s="23">
        <v>3.3</v>
      </c>
      <c r="J84" s="23">
        <f>IF(MONTH('Call Data'!$F84)&lt;=6, YEAR('Call Data'!$F84), YEAR('Call Data'!$F84)+1)</f>
        <v>2023</v>
      </c>
      <c r="K84" s="23" t="str">
        <f>TEXT('Call Data'!$F84,"DDDD")</f>
        <v>Wednesday</v>
      </c>
      <c r="L84" s="23" t="s">
        <v>14</v>
      </c>
      <c r="M84" s="23">
        <f>ROUND('Call Data'!$I84,0)</f>
        <v>3</v>
      </c>
    </row>
    <row r="85" spans="1:13" ht="14.25" customHeight="1" x14ac:dyDescent="0.35">
      <c r="A85" s="23" t="s">
        <v>118</v>
      </c>
      <c r="B85" s="23" t="s">
        <v>16</v>
      </c>
      <c r="C85" s="23">
        <v>78</v>
      </c>
      <c r="D85" s="24" t="str" cm="1">
        <f t="array" ref="D85">_xlfn.IFS(CallData[[#This Row],[Duration]]&lt;=15,"Very short",CallData[[#This Row],[Duration]]&lt;=30,"Short",CallData[[#This Row],[Duration]]&lt;=60,"Medium",CallData[[#This Row],[Duration]]&gt;60,"Long")</f>
        <v>Long</v>
      </c>
      <c r="E85" s="24" t="s">
        <v>13</v>
      </c>
      <c r="F85" s="25">
        <v>44958</v>
      </c>
      <c r="G85" s="26">
        <v>62</v>
      </c>
      <c r="H85" s="26" t="str" cm="1">
        <f t="array" ref="H85">_xlfn.IFS(CallData[[#This Row],[Purchase Amount]]&lt;=50,"Low",CallData[[#This Row],[Purchase Amount]]&lt;=100,"Medium",CallData[[#This Row],[Purchase Amount]]&lt;=150,"High",CallData[[#This Row],[Purchase Amount]]&gt;150,"Very High")</f>
        <v>Medium</v>
      </c>
      <c r="I85" s="23">
        <v>3.1</v>
      </c>
      <c r="J85" s="23">
        <f>IF(MONTH('Call Data'!$F85)&lt;=6, YEAR('Call Data'!$F85), YEAR('Call Data'!$F85)+1)</f>
        <v>2023</v>
      </c>
      <c r="K85" s="23" t="str">
        <f>TEXT('Call Data'!$F85,"DDDD")</f>
        <v>Wednesday</v>
      </c>
      <c r="L85" s="23" t="s">
        <v>14</v>
      </c>
      <c r="M85" s="23">
        <f>ROUND('Call Data'!$I85,0)</f>
        <v>3</v>
      </c>
    </row>
    <row r="86" spans="1:13" ht="14.25" customHeight="1" x14ac:dyDescent="0.35">
      <c r="A86" s="23" t="s">
        <v>119</v>
      </c>
      <c r="B86" s="23" t="s">
        <v>23</v>
      </c>
      <c r="C86" s="23">
        <v>137</v>
      </c>
      <c r="D86" s="24" t="str" cm="1">
        <f t="array" ref="D86">_xlfn.IFS(CallData[[#This Row],[Duration]]&lt;=15,"Very short",CallData[[#This Row],[Duration]]&lt;=30,"Short",CallData[[#This Row],[Duration]]&lt;=60,"Medium",CallData[[#This Row],[Duration]]&gt;60,"Long")</f>
        <v>Long</v>
      </c>
      <c r="E86" s="24" t="s">
        <v>31</v>
      </c>
      <c r="F86" s="25">
        <v>44958</v>
      </c>
      <c r="G86" s="26">
        <v>90</v>
      </c>
      <c r="H86" s="26" t="str" cm="1">
        <f t="array" ref="H86">_xlfn.IFS(CallData[[#This Row],[Purchase Amount]]&lt;=50,"Low",CallData[[#This Row],[Purchase Amount]]&lt;=100,"Medium",CallData[[#This Row],[Purchase Amount]]&lt;=150,"High",CallData[[#This Row],[Purchase Amount]]&gt;150,"Very High")</f>
        <v>Medium</v>
      </c>
      <c r="I86" s="23">
        <v>4.0999999999999996</v>
      </c>
      <c r="J86" s="23">
        <f>IF(MONTH('Call Data'!$F86)&lt;=6, YEAR('Call Data'!$F86), YEAR('Call Data'!$F86)+1)</f>
        <v>2023</v>
      </c>
      <c r="K86" s="23" t="str">
        <f>TEXT('Call Data'!$F86,"DDDD")</f>
        <v>Wednesday</v>
      </c>
      <c r="L86" s="23" t="s">
        <v>25</v>
      </c>
      <c r="M86" s="23">
        <f>ROUND('Call Data'!$I86,0)</f>
        <v>4</v>
      </c>
    </row>
    <row r="87" spans="1:13" ht="14.25" customHeight="1" x14ac:dyDescent="0.35">
      <c r="A87" s="23" t="s">
        <v>120</v>
      </c>
      <c r="B87" s="23" t="s">
        <v>21</v>
      </c>
      <c r="C87" s="23">
        <v>99</v>
      </c>
      <c r="D87" s="24" t="str" cm="1">
        <f t="array" ref="D87">_xlfn.IFS(CallData[[#This Row],[Duration]]&lt;=15,"Very short",CallData[[#This Row],[Duration]]&lt;=30,"Short",CallData[[#This Row],[Duration]]&lt;=60,"Medium",CallData[[#This Row],[Duration]]&gt;60,"Long")</f>
        <v>Long</v>
      </c>
      <c r="E87" s="24" t="s">
        <v>13</v>
      </c>
      <c r="F87" s="25">
        <v>44959</v>
      </c>
      <c r="G87" s="26">
        <v>112</v>
      </c>
      <c r="H87" s="26" t="str" cm="1">
        <f t="array" ref="H87">_xlfn.IFS(CallData[[#This Row],[Purchase Amount]]&lt;=50,"Low",CallData[[#This Row],[Purchase Amount]]&lt;=100,"Medium",CallData[[#This Row],[Purchase Amount]]&lt;=150,"High",CallData[[#This Row],[Purchase Amount]]&gt;150,"Very High")</f>
        <v>High</v>
      </c>
      <c r="I87" s="23">
        <v>4.9000000000000004</v>
      </c>
      <c r="J87" s="23">
        <f>IF(MONTH('Call Data'!$F87)&lt;=6, YEAR('Call Data'!$F87), YEAR('Call Data'!$F87)+1)</f>
        <v>2023</v>
      </c>
      <c r="K87" s="23" t="str">
        <f>TEXT('Call Data'!$F87,"DDDD")</f>
        <v>Thursday</v>
      </c>
      <c r="L87" s="23" t="s">
        <v>14</v>
      </c>
      <c r="M87" s="23">
        <f>ROUND('Call Data'!$I87,0)</f>
        <v>5</v>
      </c>
    </row>
    <row r="88" spans="1:13" ht="14.25" customHeight="1" x14ac:dyDescent="0.35">
      <c r="A88" s="23" t="s">
        <v>121</v>
      </c>
      <c r="B88" s="23" t="s">
        <v>55</v>
      </c>
      <c r="C88" s="23">
        <v>100</v>
      </c>
      <c r="D88" s="24" t="str" cm="1">
        <f t="array" ref="D88">_xlfn.IFS(CallData[[#This Row],[Duration]]&lt;=15,"Very short",CallData[[#This Row],[Duration]]&lt;=30,"Short",CallData[[#This Row],[Duration]]&lt;=60,"Medium",CallData[[#This Row],[Duration]]&gt;60,"Long")</f>
        <v>Long</v>
      </c>
      <c r="E88" s="24" t="s">
        <v>13</v>
      </c>
      <c r="F88" s="25">
        <v>44959</v>
      </c>
      <c r="G88" s="26">
        <v>135</v>
      </c>
      <c r="H88" s="26" t="str" cm="1">
        <f t="array" ref="H88">_xlfn.IFS(CallData[[#This Row],[Purchase Amount]]&lt;=50,"Low",CallData[[#This Row],[Purchase Amount]]&lt;=100,"Medium",CallData[[#This Row],[Purchase Amount]]&lt;=150,"High",CallData[[#This Row],[Purchase Amount]]&gt;150,"Very High")</f>
        <v>High</v>
      </c>
      <c r="I88" s="23">
        <v>4</v>
      </c>
      <c r="J88" s="23">
        <f>IF(MONTH('Call Data'!$F88)&lt;=6, YEAR('Call Data'!$F88), YEAR('Call Data'!$F88)+1)</f>
        <v>2023</v>
      </c>
      <c r="K88" s="23" t="str">
        <f>TEXT('Call Data'!$F88,"DDDD")</f>
        <v>Thursday</v>
      </c>
      <c r="L88" s="23" t="s">
        <v>14</v>
      </c>
      <c r="M88" s="23">
        <f>ROUND('Call Data'!$I88,0)</f>
        <v>4</v>
      </c>
    </row>
    <row r="89" spans="1:13" ht="14.25" customHeight="1" x14ac:dyDescent="0.35">
      <c r="A89" s="23" t="s">
        <v>122</v>
      </c>
      <c r="B89" s="23" t="s">
        <v>16</v>
      </c>
      <c r="C89" s="23">
        <v>47</v>
      </c>
      <c r="D89" s="24" t="str" cm="1">
        <f t="array" ref="D89">_xlfn.IFS(CallData[[#This Row],[Duration]]&lt;=15,"Very short",CallData[[#This Row],[Duration]]&lt;=30,"Short",CallData[[#This Row],[Duration]]&lt;=60,"Medium",CallData[[#This Row],[Duration]]&gt;60,"Long")</f>
        <v>Medium</v>
      </c>
      <c r="E89" s="24" t="s">
        <v>19</v>
      </c>
      <c r="F89" s="25">
        <v>44959</v>
      </c>
      <c r="G89" s="26">
        <v>34</v>
      </c>
      <c r="H89" s="26" t="str" cm="1">
        <f t="array" ref="H89">_xlfn.IFS(CallData[[#This Row],[Purchase Amount]]&lt;=50,"Low",CallData[[#This Row],[Purchase Amount]]&lt;=100,"Medium",CallData[[#This Row],[Purchase Amount]]&lt;=150,"High",CallData[[#This Row],[Purchase Amount]]&gt;150,"Very High")</f>
        <v>Low</v>
      </c>
      <c r="I89" s="23">
        <v>2.1</v>
      </c>
      <c r="J89" s="23">
        <f>IF(MONTH('Call Data'!$F89)&lt;=6, YEAR('Call Data'!$F89), YEAR('Call Data'!$F89)+1)</f>
        <v>2023</v>
      </c>
      <c r="K89" s="23" t="str">
        <f>TEXT('Call Data'!$F89,"DDDD")</f>
        <v>Thursday</v>
      </c>
      <c r="L89" s="23" t="s">
        <v>27</v>
      </c>
      <c r="M89" s="23">
        <f>ROUND('Call Data'!$I89,0)</f>
        <v>2</v>
      </c>
    </row>
    <row r="90" spans="1:13" ht="14.25" customHeight="1" x14ac:dyDescent="0.35">
      <c r="A90" s="23" t="s">
        <v>123</v>
      </c>
      <c r="B90" s="23" t="s">
        <v>88</v>
      </c>
      <c r="C90" s="23">
        <v>87</v>
      </c>
      <c r="D90" s="24" t="str" cm="1">
        <f t="array" ref="D90">_xlfn.IFS(CallData[[#This Row],[Duration]]&lt;=15,"Very short",CallData[[#This Row],[Duration]]&lt;=30,"Short",CallData[[#This Row],[Duration]]&lt;=60,"Medium",CallData[[#This Row],[Duration]]&gt;60,"Long")</f>
        <v>Long</v>
      </c>
      <c r="E90" s="24" t="s">
        <v>24</v>
      </c>
      <c r="F90" s="25">
        <v>44959</v>
      </c>
      <c r="G90" s="26">
        <v>155</v>
      </c>
      <c r="H90" s="26" t="str" cm="1">
        <f t="array" ref="H90">_xlfn.IFS(CallData[[#This Row],[Purchase Amount]]&lt;=50,"Low",CallData[[#This Row],[Purchase Amount]]&lt;=100,"Medium",CallData[[#This Row],[Purchase Amount]]&lt;=150,"High",CallData[[#This Row],[Purchase Amount]]&gt;150,"Very High")</f>
        <v>Very High</v>
      </c>
      <c r="I90" s="23">
        <v>4.5</v>
      </c>
      <c r="J90" s="23">
        <f>IF(MONTH('Call Data'!$F90)&lt;=6, YEAR('Call Data'!$F90), YEAR('Call Data'!$F90)+1)</f>
        <v>2023</v>
      </c>
      <c r="K90" s="23" t="str">
        <f>TEXT('Call Data'!$F90,"DDDD")</f>
        <v>Thursday</v>
      </c>
      <c r="L90" s="23" t="s">
        <v>14</v>
      </c>
      <c r="M90" s="23">
        <f>ROUND('Call Data'!$I90,0)</f>
        <v>5</v>
      </c>
    </row>
    <row r="91" spans="1:13" ht="14.25" customHeight="1" x14ac:dyDescent="0.35">
      <c r="A91" s="23" t="s">
        <v>124</v>
      </c>
      <c r="B91" s="23" t="s">
        <v>21</v>
      </c>
      <c r="C91" s="23">
        <v>143</v>
      </c>
      <c r="D91" s="24" t="str" cm="1">
        <f t="array" ref="D91">_xlfn.IFS(CallData[[#This Row],[Duration]]&lt;=15,"Very short",CallData[[#This Row],[Duration]]&lt;=30,"Short",CallData[[#This Row],[Duration]]&lt;=60,"Medium",CallData[[#This Row],[Duration]]&gt;60,"Long")</f>
        <v>Long</v>
      </c>
      <c r="E91" s="24" t="s">
        <v>24</v>
      </c>
      <c r="F91" s="25">
        <v>44961</v>
      </c>
      <c r="G91" s="26">
        <v>124</v>
      </c>
      <c r="H91" s="26" t="str" cm="1">
        <f t="array" ref="H91">_xlfn.IFS(CallData[[#This Row],[Purchase Amount]]&lt;=50,"Low",CallData[[#This Row],[Purchase Amount]]&lt;=100,"Medium",CallData[[#This Row],[Purchase Amount]]&lt;=150,"High",CallData[[#This Row],[Purchase Amount]]&gt;150,"Very High")</f>
        <v>High</v>
      </c>
      <c r="I91" s="23">
        <v>4.9000000000000004</v>
      </c>
      <c r="J91" s="23">
        <f>IF(MONTH('Call Data'!$F91)&lt;=6, YEAR('Call Data'!$F91), YEAR('Call Data'!$F91)+1)</f>
        <v>2023</v>
      </c>
      <c r="K91" s="23" t="str">
        <f>TEXT('Call Data'!$F91,"DDDD")</f>
        <v>Saturday</v>
      </c>
      <c r="L91" s="23" t="s">
        <v>25</v>
      </c>
      <c r="M91" s="23">
        <f>ROUND('Call Data'!$I91,0)</f>
        <v>5</v>
      </c>
    </row>
    <row r="92" spans="1:13" ht="14.25" customHeight="1" x14ac:dyDescent="0.35">
      <c r="A92" s="23" t="s">
        <v>125</v>
      </c>
      <c r="B92" s="23" t="s">
        <v>55</v>
      </c>
      <c r="C92" s="23">
        <v>84</v>
      </c>
      <c r="D92" s="24" t="str" cm="1">
        <f t="array" ref="D92">_xlfn.IFS(CallData[[#This Row],[Duration]]&lt;=15,"Very short",CallData[[#This Row],[Duration]]&lt;=30,"Short",CallData[[#This Row],[Duration]]&lt;=60,"Medium",CallData[[#This Row],[Duration]]&gt;60,"Long")</f>
        <v>Long</v>
      </c>
      <c r="E92" s="24" t="s">
        <v>13</v>
      </c>
      <c r="F92" s="25">
        <v>44961</v>
      </c>
      <c r="G92" s="26">
        <v>195</v>
      </c>
      <c r="H92" s="26" t="str" cm="1">
        <f t="array" ref="H92">_xlfn.IFS(CallData[[#This Row],[Purchase Amount]]&lt;=50,"Low",CallData[[#This Row],[Purchase Amount]]&lt;=100,"Medium",CallData[[#This Row],[Purchase Amount]]&lt;=150,"High",CallData[[#This Row],[Purchase Amount]]&gt;150,"Very High")</f>
        <v>Very High</v>
      </c>
      <c r="I92" s="23">
        <v>4.0999999999999996</v>
      </c>
      <c r="J92" s="23">
        <f>IF(MONTH('Call Data'!$F92)&lt;=6, YEAR('Call Data'!$F92), YEAR('Call Data'!$F92)+1)</f>
        <v>2023</v>
      </c>
      <c r="K92" s="23" t="str">
        <f>TEXT('Call Data'!$F92,"DDDD")</f>
        <v>Saturday</v>
      </c>
      <c r="L92" s="23" t="s">
        <v>14</v>
      </c>
      <c r="M92" s="23">
        <f>ROUND('Call Data'!$I92,0)</f>
        <v>4</v>
      </c>
    </row>
    <row r="93" spans="1:13" ht="14.25" customHeight="1" x14ac:dyDescent="0.35">
      <c r="A93" s="23" t="s">
        <v>126</v>
      </c>
      <c r="B93" s="23" t="s">
        <v>68</v>
      </c>
      <c r="C93" s="23">
        <v>55</v>
      </c>
      <c r="D93" s="24" t="str" cm="1">
        <f t="array" ref="D93">_xlfn.IFS(CallData[[#This Row],[Duration]]&lt;=15,"Very short",CallData[[#This Row],[Duration]]&lt;=30,"Short",CallData[[#This Row],[Duration]]&lt;=60,"Medium",CallData[[#This Row],[Duration]]&gt;60,"Long")</f>
        <v>Medium</v>
      </c>
      <c r="E93" s="24" t="s">
        <v>24</v>
      </c>
      <c r="F93" s="25">
        <v>44962</v>
      </c>
      <c r="G93" s="26">
        <v>78</v>
      </c>
      <c r="H93" s="26" t="str" cm="1">
        <f t="array" ref="H93">_xlfn.IFS(CallData[[#This Row],[Purchase Amount]]&lt;=50,"Low",CallData[[#This Row],[Purchase Amount]]&lt;=100,"Medium",CallData[[#This Row],[Purchase Amount]]&lt;=150,"High",CallData[[#This Row],[Purchase Amount]]&gt;150,"Very High")</f>
        <v>Medium</v>
      </c>
      <c r="I93" s="23">
        <v>4.5</v>
      </c>
      <c r="J93" s="23">
        <f>IF(MONTH('Call Data'!$F93)&lt;=6, YEAR('Call Data'!$F93), YEAR('Call Data'!$F93)+1)</f>
        <v>2023</v>
      </c>
      <c r="K93" s="23" t="str">
        <f>TEXT('Call Data'!$F93,"DDDD")</f>
        <v>Sunday</v>
      </c>
      <c r="L93" s="23" t="s">
        <v>27</v>
      </c>
      <c r="M93" s="23">
        <f>ROUND('Call Data'!$I93,0)</f>
        <v>5</v>
      </c>
    </row>
    <row r="94" spans="1:13" ht="14.25" customHeight="1" x14ac:dyDescent="0.35">
      <c r="A94" s="23" t="s">
        <v>127</v>
      </c>
      <c r="B94" s="23" t="s">
        <v>29</v>
      </c>
      <c r="C94" s="23">
        <v>135</v>
      </c>
      <c r="D94" s="24" t="str" cm="1">
        <f t="array" ref="D94">_xlfn.IFS(CallData[[#This Row],[Duration]]&lt;=15,"Very short",CallData[[#This Row],[Duration]]&lt;=30,"Short",CallData[[#This Row],[Duration]]&lt;=60,"Medium",CallData[[#This Row],[Duration]]&gt;60,"Long")</f>
        <v>Long</v>
      </c>
      <c r="E94" s="24" t="s">
        <v>31</v>
      </c>
      <c r="F94" s="25">
        <v>44964</v>
      </c>
      <c r="G94" s="26">
        <v>35</v>
      </c>
      <c r="H94" s="26" t="str" cm="1">
        <f t="array" ref="H94">_xlfn.IFS(CallData[[#This Row],[Purchase Amount]]&lt;=50,"Low",CallData[[#This Row],[Purchase Amount]]&lt;=100,"Medium",CallData[[#This Row],[Purchase Amount]]&lt;=150,"High",CallData[[#This Row],[Purchase Amount]]&gt;150,"Very High")</f>
        <v>Low</v>
      </c>
      <c r="I94" s="23">
        <v>4.8</v>
      </c>
      <c r="J94" s="23">
        <f>IF(MONTH('Call Data'!$F94)&lt;=6, YEAR('Call Data'!$F94), YEAR('Call Data'!$F94)+1)</f>
        <v>2023</v>
      </c>
      <c r="K94" s="23" t="str">
        <f>TEXT('Call Data'!$F94,"DDDD")</f>
        <v>Tuesday</v>
      </c>
      <c r="L94" s="23" t="s">
        <v>25</v>
      </c>
      <c r="M94" s="23">
        <f>ROUND('Call Data'!$I94,0)</f>
        <v>5</v>
      </c>
    </row>
    <row r="95" spans="1:13" ht="14.25" customHeight="1" x14ac:dyDescent="0.35">
      <c r="A95" s="23" t="s">
        <v>128</v>
      </c>
      <c r="B95" s="23" t="s">
        <v>58</v>
      </c>
      <c r="C95" s="23">
        <v>152</v>
      </c>
      <c r="D95" s="24" t="str" cm="1">
        <f t="array" ref="D95">_xlfn.IFS(CallData[[#This Row],[Duration]]&lt;=15,"Very short",CallData[[#This Row],[Duration]]&lt;=30,"Short",CallData[[#This Row],[Duration]]&lt;=60,"Medium",CallData[[#This Row],[Duration]]&gt;60,"Long")</f>
        <v>Long</v>
      </c>
      <c r="E95" s="24" t="s">
        <v>19</v>
      </c>
      <c r="F95" s="25">
        <v>44964</v>
      </c>
      <c r="G95" s="26">
        <v>123</v>
      </c>
      <c r="H95" s="26" t="str" cm="1">
        <f t="array" ref="H95">_xlfn.IFS(CallData[[#This Row],[Purchase Amount]]&lt;=50,"Low",CallData[[#This Row],[Purchase Amount]]&lt;=100,"Medium",CallData[[#This Row],[Purchase Amount]]&lt;=150,"High",CallData[[#This Row],[Purchase Amount]]&gt;150,"Very High")</f>
        <v>High</v>
      </c>
      <c r="I95" s="23">
        <v>4.5999999999999996</v>
      </c>
      <c r="J95" s="23">
        <f>IF(MONTH('Call Data'!$F95)&lt;=6, YEAR('Call Data'!$F95), YEAR('Call Data'!$F95)+1)</f>
        <v>2023</v>
      </c>
      <c r="K95" s="23" t="str">
        <f>TEXT('Call Data'!$F95,"DDDD")</f>
        <v>Tuesday</v>
      </c>
      <c r="L95" s="23" t="s">
        <v>25</v>
      </c>
      <c r="M95" s="23">
        <f>ROUND('Call Data'!$I95,0)</f>
        <v>5</v>
      </c>
    </row>
    <row r="96" spans="1:13" ht="14.25" customHeight="1" x14ac:dyDescent="0.35">
      <c r="A96" s="23" t="s">
        <v>129</v>
      </c>
      <c r="B96" s="23" t="s">
        <v>18</v>
      </c>
      <c r="C96" s="23">
        <v>132</v>
      </c>
      <c r="D96" s="24" t="str" cm="1">
        <f t="array" ref="D96">_xlfn.IFS(CallData[[#This Row],[Duration]]&lt;=15,"Very short",CallData[[#This Row],[Duration]]&lt;=30,"Short",CallData[[#This Row],[Duration]]&lt;=60,"Medium",CallData[[#This Row],[Duration]]&gt;60,"Long")</f>
        <v>Long</v>
      </c>
      <c r="E96" s="24" t="s">
        <v>19</v>
      </c>
      <c r="F96" s="25">
        <v>44964</v>
      </c>
      <c r="G96" s="26">
        <v>43</v>
      </c>
      <c r="H96" s="26" t="str" cm="1">
        <f t="array" ref="H96">_xlfn.IFS(CallData[[#This Row],[Purchase Amount]]&lt;=50,"Low",CallData[[#This Row],[Purchase Amount]]&lt;=100,"Medium",CallData[[#This Row],[Purchase Amount]]&lt;=150,"High",CallData[[#This Row],[Purchase Amount]]&gt;150,"Very High")</f>
        <v>Low</v>
      </c>
      <c r="I96" s="23">
        <v>4.5999999999999996</v>
      </c>
      <c r="J96" s="23">
        <f>IF(MONTH('Call Data'!$F96)&lt;=6, YEAR('Call Data'!$F96), YEAR('Call Data'!$F96)+1)</f>
        <v>2023</v>
      </c>
      <c r="K96" s="23" t="str">
        <f>TEXT('Call Data'!$F96,"DDDD")</f>
        <v>Tuesday</v>
      </c>
      <c r="L96" s="23" t="s">
        <v>25</v>
      </c>
      <c r="M96" s="23">
        <f>ROUND('Call Data'!$I96,0)</f>
        <v>5</v>
      </c>
    </row>
    <row r="97" spans="1:13" ht="14.25" customHeight="1" x14ac:dyDescent="0.35">
      <c r="A97" s="23" t="s">
        <v>130</v>
      </c>
      <c r="B97" s="23" t="s">
        <v>50</v>
      </c>
      <c r="C97" s="23">
        <v>60</v>
      </c>
      <c r="D97" s="24" t="str" cm="1">
        <f t="array" ref="D97">_xlfn.IFS(CallData[[#This Row],[Duration]]&lt;=15,"Very short",CallData[[#This Row],[Duration]]&lt;=30,"Short",CallData[[#This Row],[Duration]]&lt;=60,"Medium",CallData[[#This Row],[Duration]]&gt;60,"Long")</f>
        <v>Medium</v>
      </c>
      <c r="E97" s="24" t="s">
        <v>13</v>
      </c>
      <c r="F97" s="25">
        <v>44965</v>
      </c>
      <c r="G97" s="26">
        <v>69</v>
      </c>
      <c r="H97" s="26" t="str" cm="1">
        <f t="array" ref="H97">_xlfn.IFS(CallData[[#This Row],[Purchase Amount]]&lt;=50,"Low",CallData[[#This Row],[Purchase Amount]]&lt;=100,"Medium",CallData[[#This Row],[Purchase Amount]]&lt;=150,"High",CallData[[#This Row],[Purchase Amount]]&gt;150,"Very High")</f>
        <v>Medium</v>
      </c>
      <c r="I97" s="23">
        <v>4.3</v>
      </c>
      <c r="J97" s="23">
        <f>IF(MONTH('Call Data'!$F97)&lt;=6, YEAR('Call Data'!$F97), YEAR('Call Data'!$F97)+1)</f>
        <v>2023</v>
      </c>
      <c r="K97" s="23" t="str">
        <f>TEXT('Call Data'!$F97,"DDDD")</f>
        <v>Wednesday</v>
      </c>
      <c r="L97" s="23" t="s">
        <v>27</v>
      </c>
      <c r="M97" s="23">
        <f>ROUND('Call Data'!$I97,0)</f>
        <v>4</v>
      </c>
    </row>
    <row r="98" spans="1:13" ht="14.25" customHeight="1" x14ac:dyDescent="0.35">
      <c r="A98" s="23" t="s">
        <v>131</v>
      </c>
      <c r="B98" s="23" t="s">
        <v>58</v>
      </c>
      <c r="C98" s="23">
        <v>95</v>
      </c>
      <c r="D98" s="24" t="str" cm="1">
        <f t="array" ref="D98">_xlfn.IFS(CallData[[#This Row],[Duration]]&lt;=15,"Very short",CallData[[#This Row],[Duration]]&lt;=30,"Short",CallData[[#This Row],[Duration]]&lt;=60,"Medium",CallData[[#This Row],[Duration]]&gt;60,"Long")</f>
        <v>Long</v>
      </c>
      <c r="E98" s="24" t="s">
        <v>19</v>
      </c>
      <c r="F98" s="25">
        <v>44965</v>
      </c>
      <c r="G98" s="26">
        <v>130</v>
      </c>
      <c r="H98" s="26" t="str" cm="1">
        <f t="array" ref="H98">_xlfn.IFS(CallData[[#This Row],[Purchase Amount]]&lt;=50,"Low",CallData[[#This Row],[Purchase Amount]]&lt;=100,"Medium",CallData[[#This Row],[Purchase Amount]]&lt;=150,"High",CallData[[#This Row],[Purchase Amount]]&gt;150,"Very High")</f>
        <v>High</v>
      </c>
      <c r="I98" s="23">
        <v>5</v>
      </c>
      <c r="J98" s="23">
        <f>IF(MONTH('Call Data'!$F98)&lt;=6, YEAR('Call Data'!$F98), YEAR('Call Data'!$F98)+1)</f>
        <v>2023</v>
      </c>
      <c r="K98" s="23" t="str">
        <f>TEXT('Call Data'!$F98,"DDDD")</f>
        <v>Wednesday</v>
      </c>
      <c r="L98" s="23" t="s">
        <v>14</v>
      </c>
      <c r="M98" s="23">
        <f>ROUND('Call Data'!$I98,0)</f>
        <v>5</v>
      </c>
    </row>
    <row r="99" spans="1:13" ht="14.25" customHeight="1" x14ac:dyDescent="0.35">
      <c r="A99" s="23" t="s">
        <v>132</v>
      </c>
      <c r="B99" s="23" t="s">
        <v>12</v>
      </c>
      <c r="C99" s="23">
        <v>96</v>
      </c>
      <c r="D99" s="24" t="str" cm="1">
        <f t="array" ref="D99">_xlfn.IFS(CallData[[#This Row],[Duration]]&lt;=15,"Very short",CallData[[#This Row],[Duration]]&lt;=30,"Short",CallData[[#This Row],[Duration]]&lt;=60,"Medium",CallData[[#This Row],[Duration]]&gt;60,"Long")</f>
        <v>Long</v>
      </c>
      <c r="E99" s="24" t="s">
        <v>35</v>
      </c>
      <c r="F99" s="25">
        <v>44965</v>
      </c>
      <c r="G99" s="26">
        <v>120</v>
      </c>
      <c r="H99" s="26" t="str" cm="1">
        <f t="array" ref="H99">_xlfn.IFS(CallData[[#This Row],[Purchase Amount]]&lt;=50,"Low",CallData[[#This Row],[Purchase Amount]]&lt;=100,"Medium",CallData[[#This Row],[Purchase Amount]]&lt;=150,"High",CallData[[#This Row],[Purchase Amount]]&gt;150,"Very High")</f>
        <v>High</v>
      </c>
      <c r="I99" s="23">
        <v>4</v>
      </c>
      <c r="J99" s="23">
        <f>IF(MONTH('Call Data'!$F99)&lt;=6, YEAR('Call Data'!$F99), YEAR('Call Data'!$F99)+1)</f>
        <v>2023</v>
      </c>
      <c r="K99" s="23" t="str">
        <f>TEXT('Call Data'!$F99,"DDDD")</f>
        <v>Wednesday</v>
      </c>
      <c r="L99" s="23" t="s">
        <v>14</v>
      </c>
      <c r="M99" s="23">
        <f>ROUND('Call Data'!$I99,0)</f>
        <v>4</v>
      </c>
    </row>
    <row r="100" spans="1:13" ht="14.25" customHeight="1" x14ac:dyDescent="0.35">
      <c r="A100" s="23" t="s">
        <v>133</v>
      </c>
      <c r="B100" s="23" t="s">
        <v>68</v>
      </c>
      <c r="C100" s="23">
        <v>45</v>
      </c>
      <c r="D100" s="24" t="str" cm="1">
        <f t="array" ref="D100">_xlfn.IFS(CallData[[#This Row],[Duration]]&lt;=15,"Very short",CallData[[#This Row],[Duration]]&lt;=30,"Short",CallData[[#This Row],[Duration]]&lt;=60,"Medium",CallData[[#This Row],[Duration]]&gt;60,"Long")</f>
        <v>Medium</v>
      </c>
      <c r="E100" s="24" t="s">
        <v>13</v>
      </c>
      <c r="F100" s="25">
        <v>44966</v>
      </c>
      <c r="G100" s="26">
        <v>84</v>
      </c>
      <c r="H100" s="26" t="str" cm="1">
        <f t="array" ref="H100">_xlfn.IFS(CallData[[#This Row],[Purchase Amount]]&lt;=50,"Low",CallData[[#This Row],[Purchase Amount]]&lt;=100,"Medium",CallData[[#This Row],[Purchase Amount]]&lt;=150,"High",CallData[[#This Row],[Purchase Amount]]&gt;150,"Very High")</f>
        <v>Medium</v>
      </c>
      <c r="I100" s="23">
        <v>4.5999999999999996</v>
      </c>
      <c r="J100" s="23">
        <f>IF(MONTH('Call Data'!$F100)&lt;=6, YEAR('Call Data'!$F100), YEAR('Call Data'!$F100)+1)</f>
        <v>2023</v>
      </c>
      <c r="K100" s="23" t="str">
        <f>TEXT('Call Data'!$F100,"DDDD")</f>
        <v>Thursday</v>
      </c>
      <c r="L100" s="23" t="s">
        <v>27</v>
      </c>
      <c r="M100" s="23">
        <f>ROUND('Call Data'!$I100,0)</f>
        <v>5</v>
      </c>
    </row>
    <row r="101" spans="1:13" ht="14.25" customHeight="1" x14ac:dyDescent="0.35">
      <c r="A101" s="23" t="s">
        <v>134</v>
      </c>
      <c r="B101" s="23" t="s">
        <v>12</v>
      </c>
      <c r="C101" s="23">
        <v>132</v>
      </c>
      <c r="D101" s="24" t="str" cm="1">
        <f t="array" ref="D101">_xlfn.IFS(CallData[[#This Row],[Duration]]&lt;=15,"Very short",CallData[[#This Row],[Duration]]&lt;=30,"Short",CallData[[#This Row],[Duration]]&lt;=60,"Medium",CallData[[#This Row],[Duration]]&gt;60,"Long")</f>
        <v>Long</v>
      </c>
      <c r="E101" s="24" t="s">
        <v>35</v>
      </c>
      <c r="F101" s="25">
        <v>44967</v>
      </c>
      <c r="G101" s="26">
        <v>112</v>
      </c>
      <c r="H101" s="26" t="str" cm="1">
        <f t="array" ref="H101">_xlfn.IFS(CallData[[#This Row],[Purchase Amount]]&lt;=50,"Low",CallData[[#This Row],[Purchase Amount]]&lt;=100,"Medium",CallData[[#This Row],[Purchase Amount]]&lt;=150,"High",CallData[[#This Row],[Purchase Amount]]&gt;150,"Very High")</f>
        <v>High</v>
      </c>
      <c r="I101" s="23">
        <v>4.5</v>
      </c>
      <c r="J101" s="23">
        <f>IF(MONTH('Call Data'!$F101)&lt;=6, YEAR('Call Data'!$F101), YEAR('Call Data'!$F101)+1)</f>
        <v>2023</v>
      </c>
      <c r="K101" s="23" t="str">
        <f>TEXT('Call Data'!$F101,"DDDD")</f>
        <v>Friday</v>
      </c>
      <c r="L101" s="23" t="s">
        <v>25</v>
      </c>
      <c r="M101" s="23">
        <f>ROUND('Call Data'!$I101,0)</f>
        <v>5</v>
      </c>
    </row>
    <row r="102" spans="1:13" ht="14.25" customHeight="1" x14ac:dyDescent="0.35">
      <c r="A102" s="23" t="s">
        <v>135</v>
      </c>
      <c r="B102" s="23" t="s">
        <v>38</v>
      </c>
      <c r="C102" s="23">
        <v>95</v>
      </c>
      <c r="D102" s="24" t="str" cm="1">
        <f t="array" ref="D102">_xlfn.IFS(CallData[[#This Row],[Duration]]&lt;=15,"Very short",CallData[[#This Row],[Duration]]&lt;=30,"Short",CallData[[#This Row],[Duration]]&lt;=60,"Medium",CallData[[#This Row],[Duration]]&gt;60,"Long")</f>
        <v>Long</v>
      </c>
      <c r="E102" s="24" t="s">
        <v>13</v>
      </c>
      <c r="F102" s="25">
        <v>44967</v>
      </c>
      <c r="G102" s="26">
        <v>66</v>
      </c>
      <c r="H102" s="26" t="str" cm="1">
        <f t="array" ref="H102">_xlfn.IFS(CallData[[#This Row],[Purchase Amount]]&lt;=50,"Low",CallData[[#This Row],[Purchase Amount]]&lt;=100,"Medium",CallData[[#This Row],[Purchase Amount]]&lt;=150,"High",CallData[[#This Row],[Purchase Amount]]&gt;150,"Very High")</f>
        <v>Medium</v>
      </c>
      <c r="I102" s="23">
        <v>4.5999999999999996</v>
      </c>
      <c r="J102" s="23">
        <f>IF(MONTH('Call Data'!$F102)&lt;=6, YEAR('Call Data'!$F102), YEAR('Call Data'!$F102)+1)</f>
        <v>2023</v>
      </c>
      <c r="K102" s="23" t="str">
        <f>TEXT('Call Data'!$F102,"DDDD")</f>
        <v>Friday</v>
      </c>
      <c r="L102" s="23" t="s">
        <v>14</v>
      </c>
      <c r="M102" s="23">
        <f>ROUND('Call Data'!$I102,0)</f>
        <v>5</v>
      </c>
    </row>
    <row r="103" spans="1:13" ht="14.25" customHeight="1" x14ac:dyDescent="0.35">
      <c r="A103" s="23" t="s">
        <v>136</v>
      </c>
      <c r="B103" s="23" t="s">
        <v>58</v>
      </c>
      <c r="C103" s="23">
        <v>131</v>
      </c>
      <c r="D103" s="24" t="str" cm="1">
        <f t="array" ref="D103">_xlfn.IFS(CallData[[#This Row],[Duration]]&lt;=15,"Very short",CallData[[#This Row],[Duration]]&lt;=30,"Short",CallData[[#This Row],[Duration]]&lt;=60,"Medium",CallData[[#This Row],[Duration]]&gt;60,"Long")</f>
        <v>Long</v>
      </c>
      <c r="E103" s="24" t="s">
        <v>24</v>
      </c>
      <c r="F103" s="25">
        <v>44967</v>
      </c>
      <c r="G103" s="26">
        <v>172</v>
      </c>
      <c r="H103" s="26" t="str" cm="1">
        <f t="array" ref="H103">_xlfn.IFS(CallData[[#This Row],[Purchase Amount]]&lt;=50,"Low",CallData[[#This Row],[Purchase Amount]]&lt;=100,"Medium",CallData[[#This Row],[Purchase Amount]]&lt;=150,"High",CallData[[#This Row],[Purchase Amount]]&gt;150,"Very High")</f>
        <v>Very High</v>
      </c>
      <c r="I103" s="23">
        <v>2.6</v>
      </c>
      <c r="J103" s="23">
        <f>IF(MONTH('Call Data'!$F103)&lt;=6, YEAR('Call Data'!$F103), YEAR('Call Data'!$F103)+1)</f>
        <v>2023</v>
      </c>
      <c r="K103" s="23" t="str">
        <f>TEXT('Call Data'!$F103,"DDDD")</f>
        <v>Friday</v>
      </c>
      <c r="L103" s="23" t="s">
        <v>25</v>
      </c>
      <c r="M103" s="23">
        <f>ROUND('Call Data'!$I103,0)</f>
        <v>3</v>
      </c>
    </row>
    <row r="104" spans="1:13" ht="14.25" customHeight="1" x14ac:dyDescent="0.35">
      <c r="A104" s="23" t="s">
        <v>137</v>
      </c>
      <c r="B104" s="23" t="s">
        <v>46</v>
      </c>
      <c r="C104" s="23">
        <v>67</v>
      </c>
      <c r="D104" s="24" t="str" cm="1">
        <f t="array" ref="D104">_xlfn.IFS(CallData[[#This Row],[Duration]]&lt;=15,"Very short",CallData[[#This Row],[Duration]]&lt;=30,"Short",CallData[[#This Row],[Duration]]&lt;=60,"Medium",CallData[[#This Row],[Duration]]&gt;60,"Long")</f>
        <v>Long</v>
      </c>
      <c r="E104" s="24" t="s">
        <v>31</v>
      </c>
      <c r="F104" s="25">
        <v>44968</v>
      </c>
      <c r="G104" s="26">
        <v>24</v>
      </c>
      <c r="H104" s="26" t="str" cm="1">
        <f t="array" ref="H104">_xlfn.IFS(CallData[[#This Row],[Purchase Amount]]&lt;=50,"Low",CallData[[#This Row],[Purchase Amount]]&lt;=100,"Medium",CallData[[#This Row],[Purchase Amount]]&lt;=150,"High",CallData[[#This Row],[Purchase Amount]]&gt;150,"Very High")</f>
        <v>Low</v>
      </c>
      <c r="I104" s="23">
        <v>4.3</v>
      </c>
      <c r="J104" s="23">
        <f>IF(MONTH('Call Data'!$F104)&lt;=6, YEAR('Call Data'!$F104), YEAR('Call Data'!$F104)+1)</f>
        <v>2023</v>
      </c>
      <c r="K104" s="23" t="str">
        <f>TEXT('Call Data'!$F104,"DDDD")</f>
        <v>Saturday</v>
      </c>
      <c r="L104" s="23" t="s">
        <v>14</v>
      </c>
      <c r="M104" s="23">
        <f>ROUND('Call Data'!$I104,0)</f>
        <v>4</v>
      </c>
    </row>
    <row r="105" spans="1:13" ht="14.25" customHeight="1" x14ac:dyDescent="0.35">
      <c r="A105" s="23" t="s">
        <v>138</v>
      </c>
      <c r="B105" s="23" t="s">
        <v>21</v>
      </c>
      <c r="C105" s="23">
        <v>111</v>
      </c>
      <c r="D105" s="24" t="str" cm="1">
        <f t="array" ref="D105">_xlfn.IFS(CallData[[#This Row],[Duration]]&lt;=15,"Very short",CallData[[#This Row],[Duration]]&lt;=30,"Short",CallData[[#This Row],[Duration]]&lt;=60,"Medium",CallData[[#This Row],[Duration]]&gt;60,"Long")</f>
        <v>Long</v>
      </c>
      <c r="E105" s="24" t="s">
        <v>24</v>
      </c>
      <c r="F105" s="25">
        <v>44969</v>
      </c>
      <c r="G105" s="26">
        <v>43</v>
      </c>
      <c r="H105" s="26" t="str" cm="1">
        <f t="array" ref="H105">_xlfn.IFS(CallData[[#This Row],[Purchase Amount]]&lt;=50,"Low",CallData[[#This Row],[Purchase Amount]]&lt;=100,"Medium",CallData[[#This Row],[Purchase Amount]]&lt;=150,"High",CallData[[#This Row],[Purchase Amount]]&gt;150,"Very High")</f>
        <v>Low</v>
      </c>
      <c r="I105" s="23">
        <v>3.9</v>
      </c>
      <c r="J105" s="23">
        <f>IF(MONTH('Call Data'!$F105)&lt;=6, YEAR('Call Data'!$F105), YEAR('Call Data'!$F105)+1)</f>
        <v>2023</v>
      </c>
      <c r="K105" s="23" t="str">
        <f>TEXT('Call Data'!$F105,"DDDD")</f>
        <v>Sunday</v>
      </c>
      <c r="L105" s="23" t="s">
        <v>14</v>
      </c>
      <c r="M105" s="23">
        <f>ROUND('Call Data'!$I105,0)</f>
        <v>4</v>
      </c>
    </row>
    <row r="106" spans="1:13" ht="14.25" customHeight="1" x14ac:dyDescent="0.35">
      <c r="A106" s="23" t="s">
        <v>139</v>
      </c>
      <c r="B106" s="23" t="s">
        <v>18</v>
      </c>
      <c r="C106" s="23">
        <v>78</v>
      </c>
      <c r="D106" s="24" t="str" cm="1">
        <f t="array" ref="D106">_xlfn.IFS(CallData[[#This Row],[Duration]]&lt;=15,"Very short",CallData[[#This Row],[Duration]]&lt;=30,"Short",CallData[[#This Row],[Duration]]&lt;=60,"Medium",CallData[[#This Row],[Duration]]&gt;60,"Long")</f>
        <v>Long</v>
      </c>
      <c r="E106" s="24" t="s">
        <v>19</v>
      </c>
      <c r="F106" s="25">
        <v>44969</v>
      </c>
      <c r="G106" s="26">
        <v>23</v>
      </c>
      <c r="H106" s="26" t="str" cm="1">
        <f t="array" ref="H106">_xlfn.IFS(CallData[[#This Row],[Purchase Amount]]&lt;=50,"Low",CallData[[#This Row],[Purchase Amount]]&lt;=100,"Medium",CallData[[#This Row],[Purchase Amount]]&lt;=150,"High",CallData[[#This Row],[Purchase Amount]]&gt;150,"Very High")</f>
        <v>Low</v>
      </c>
      <c r="I106" s="23">
        <v>5</v>
      </c>
      <c r="J106" s="23">
        <f>IF(MONTH('Call Data'!$F106)&lt;=6, YEAR('Call Data'!$F106), YEAR('Call Data'!$F106)+1)</f>
        <v>2023</v>
      </c>
      <c r="K106" s="23" t="str">
        <f>TEXT('Call Data'!$F106,"DDDD")</f>
        <v>Sunday</v>
      </c>
      <c r="L106" s="23" t="s">
        <v>14</v>
      </c>
      <c r="M106" s="23">
        <f>ROUND('Call Data'!$I106,0)</f>
        <v>5</v>
      </c>
    </row>
    <row r="107" spans="1:13" ht="14.25" customHeight="1" x14ac:dyDescent="0.35">
      <c r="A107" s="23" t="s">
        <v>140</v>
      </c>
      <c r="B107" s="23" t="s">
        <v>40</v>
      </c>
      <c r="C107" s="23">
        <v>28</v>
      </c>
      <c r="D107" s="24" t="str" cm="1">
        <f t="array" ref="D107">_xlfn.IFS(CallData[[#This Row],[Duration]]&lt;=15,"Very short",CallData[[#This Row],[Duration]]&lt;=30,"Short",CallData[[#This Row],[Duration]]&lt;=60,"Medium",CallData[[#This Row],[Duration]]&gt;60,"Long")</f>
        <v>Short</v>
      </c>
      <c r="E107" s="24" t="s">
        <v>35</v>
      </c>
      <c r="F107" s="25">
        <v>44969</v>
      </c>
      <c r="G107" s="26">
        <v>74</v>
      </c>
      <c r="H107" s="26" t="str" cm="1">
        <f t="array" ref="H107">_xlfn.IFS(CallData[[#This Row],[Purchase Amount]]&lt;=50,"Low",CallData[[#This Row],[Purchase Amount]]&lt;=100,"Medium",CallData[[#This Row],[Purchase Amount]]&lt;=150,"High",CallData[[#This Row],[Purchase Amount]]&gt;150,"Very High")</f>
        <v>Medium</v>
      </c>
      <c r="I107" s="23">
        <v>3.5</v>
      </c>
      <c r="J107" s="23">
        <f>IF(MONTH('Call Data'!$F107)&lt;=6, YEAR('Call Data'!$F107), YEAR('Call Data'!$F107)+1)</f>
        <v>2023</v>
      </c>
      <c r="K107" s="23" t="str">
        <f>TEXT('Call Data'!$F107,"DDDD")</f>
        <v>Sunday</v>
      </c>
      <c r="L107" s="23" t="s">
        <v>47</v>
      </c>
      <c r="M107" s="23">
        <f>ROUND('Call Data'!$I107,0)</f>
        <v>4</v>
      </c>
    </row>
    <row r="108" spans="1:13" ht="14.25" customHeight="1" x14ac:dyDescent="0.35">
      <c r="A108" s="23" t="s">
        <v>141</v>
      </c>
      <c r="B108" s="23" t="s">
        <v>16</v>
      </c>
      <c r="C108" s="23">
        <v>127</v>
      </c>
      <c r="D108" s="24" t="str" cm="1">
        <f t="array" ref="D108">_xlfn.IFS(CallData[[#This Row],[Duration]]&lt;=15,"Very short",CallData[[#This Row],[Duration]]&lt;=30,"Short",CallData[[#This Row],[Duration]]&lt;=60,"Medium",CallData[[#This Row],[Duration]]&gt;60,"Long")</f>
        <v>Long</v>
      </c>
      <c r="E108" s="24" t="s">
        <v>31</v>
      </c>
      <c r="F108" s="25">
        <v>44970</v>
      </c>
      <c r="G108" s="26">
        <v>165</v>
      </c>
      <c r="H108" s="26" t="str" cm="1">
        <f t="array" ref="H108">_xlfn.IFS(CallData[[#This Row],[Purchase Amount]]&lt;=50,"Low",CallData[[#This Row],[Purchase Amount]]&lt;=100,"Medium",CallData[[#This Row],[Purchase Amount]]&lt;=150,"High",CallData[[#This Row],[Purchase Amount]]&gt;150,"Very High")</f>
        <v>Very High</v>
      </c>
      <c r="I108" s="23">
        <v>4.7</v>
      </c>
      <c r="J108" s="23">
        <f>IF(MONTH('Call Data'!$F108)&lt;=6, YEAR('Call Data'!$F108), YEAR('Call Data'!$F108)+1)</f>
        <v>2023</v>
      </c>
      <c r="K108" s="23" t="str">
        <f>TEXT('Call Data'!$F108,"DDDD")</f>
        <v>Monday</v>
      </c>
      <c r="L108" s="23" t="s">
        <v>25</v>
      </c>
      <c r="M108" s="23">
        <f>ROUND('Call Data'!$I108,0)</f>
        <v>5</v>
      </c>
    </row>
    <row r="109" spans="1:13" ht="14.25" customHeight="1" x14ac:dyDescent="0.35">
      <c r="A109" s="23" t="s">
        <v>142</v>
      </c>
      <c r="B109" s="23" t="s">
        <v>55</v>
      </c>
      <c r="C109" s="23">
        <v>137</v>
      </c>
      <c r="D109" s="24" t="str" cm="1">
        <f t="array" ref="D109">_xlfn.IFS(CallData[[#This Row],[Duration]]&lt;=15,"Very short",CallData[[#This Row],[Duration]]&lt;=30,"Short",CallData[[#This Row],[Duration]]&lt;=60,"Medium",CallData[[#This Row],[Duration]]&gt;60,"Long")</f>
        <v>Long</v>
      </c>
      <c r="E109" s="24" t="s">
        <v>24</v>
      </c>
      <c r="F109" s="25">
        <v>44970</v>
      </c>
      <c r="G109" s="26">
        <v>34</v>
      </c>
      <c r="H109" s="26" t="str" cm="1">
        <f t="array" ref="H109">_xlfn.IFS(CallData[[#This Row],[Purchase Amount]]&lt;=50,"Low",CallData[[#This Row],[Purchase Amount]]&lt;=100,"Medium",CallData[[#This Row],[Purchase Amount]]&lt;=150,"High",CallData[[#This Row],[Purchase Amount]]&gt;150,"Very High")</f>
        <v>Low</v>
      </c>
      <c r="I109" s="23">
        <v>2.9</v>
      </c>
      <c r="J109" s="23">
        <f>IF(MONTH('Call Data'!$F109)&lt;=6, YEAR('Call Data'!$F109), YEAR('Call Data'!$F109)+1)</f>
        <v>2023</v>
      </c>
      <c r="K109" s="23" t="str">
        <f>TEXT('Call Data'!$F109,"DDDD")</f>
        <v>Monday</v>
      </c>
      <c r="L109" s="23" t="s">
        <v>25</v>
      </c>
      <c r="M109" s="23">
        <f>ROUND('Call Data'!$I109,0)</f>
        <v>3</v>
      </c>
    </row>
    <row r="110" spans="1:13" ht="14.25" customHeight="1" x14ac:dyDescent="0.35">
      <c r="A110" s="23" t="s">
        <v>143</v>
      </c>
      <c r="B110" s="23" t="s">
        <v>16</v>
      </c>
      <c r="C110" s="23">
        <v>76</v>
      </c>
      <c r="D110" s="24" t="str" cm="1">
        <f t="array" ref="D110">_xlfn.IFS(CallData[[#This Row],[Duration]]&lt;=15,"Very short",CallData[[#This Row],[Duration]]&lt;=30,"Short",CallData[[#This Row],[Duration]]&lt;=60,"Medium",CallData[[#This Row],[Duration]]&gt;60,"Long")</f>
        <v>Long</v>
      </c>
      <c r="E110" s="24" t="s">
        <v>35</v>
      </c>
      <c r="F110" s="25">
        <v>44970</v>
      </c>
      <c r="G110" s="26">
        <v>64</v>
      </c>
      <c r="H110" s="26" t="str" cm="1">
        <f t="array" ref="H110">_xlfn.IFS(CallData[[#This Row],[Purchase Amount]]&lt;=50,"Low",CallData[[#This Row],[Purchase Amount]]&lt;=100,"Medium",CallData[[#This Row],[Purchase Amount]]&lt;=150,"High",CallData[[#This Row],[Purchase Amount]]&gt;150,"Very High")</f>
        <v>Medium</v>
      </c>
      <c r="I110" s="23">
        <v>3.4</v>
      </c>
      <c r="J110" s="23">
        <f>IF(MONTH('Call Data'!$F110)&lt;=6, YEAR('Call Data'!$F110), YEAR('Call Data'!$F110)+1)</f>
        <v>2023</v>
      </c>
      <c r="K110" s="23" t="str">
        <f>TEXT('Call Data'!$F110,"DDDD")</f>
        <v>Monday</v>
      </c>
      <c r="L110" s="23" t="s">
        <v>14</v>
      </c>
      <c r="M110" s="23">
        <f>ROUND('Call Data'!$I110,0)</f>
        <v>3</v>
      </c>
    </row>
    <row r="111" spans="1:13" ht="14.25" customHeight="1" x14ac:dyDescent="0.35">
      <c r="A111" s="23" t="s">
        <v>144</v>
      </c>
      <c r="B111" s="23" t="s">
        <v>18</v>
      </c>
      <c r="C111" s="23">
        <v>80</v>
      </c>
      <c r="D111" s="24" t="str" cm="1">
        <f t="array" ref="D111">_xlfn.IFS(CallData[[#This Row],[Duration]]&lt;=15,"Very short",CallData[[#This Row],[Duration]]&lt;=30,"Short",CallData[[#This Row],[Duration]]&lt;=60,"Medium",CallData[[#This Row],[Duration]]&gt;60,"Long")</f>
        <v>Long</v>
      </c>
      <c r="E111" s="24" t="s">
        <v>31</v>
      </c>
      <c r="F111" s="25">
        <v>44971</v>
      </c>
      <c r="G111" s="26">
        <v>155</v>
      </c>
      <c r="H111" s="26" t="str" cm="1">
        <f t="array" ref="H111">_xlfn.IFS(CallData[[#This Row],[Purchase Amount]]&lt;=50,"Low",CallData[[#This Row],[Purchase Amount]]&lt;=100,"Medium",CallData[[#This Row],[Purchase Amount]]&lt;=150,"High",CallData[[#This Row],[Purchase Amount]]&gt;150,"Very High")</f>
        <v>Very High</v>
      </c>
      <c r="I111" s="23">
        <v>3.2</v>
      </c>
      <c r="J111" s="23">
        <f>IF(MONTH('Call Data'!$F111)&lt;=6, YEAR('Call Data'!$F111), YEAR('Call Data'!$F111)+1)</f>
        <v>2023</v>
      </c>
      <c r="K111" s="23" t="str">
        <f>TEXT('Call Data'!$F111,"DDDD")</f>
        <v>Tuesday</v>
      </c>
      <c r="L111" s="23" t="s">
        <v>14</v>
      </c>
      <c r="M111" s="23">
        <f>ROUND('Call Data'!$I111,0)</f>
        <v>3</v>
      </c>
    </row>
    <row r="112" spans="1:13" ht="14.25" customHeight="1" x14ac:dyDescent="0.35">
      <c r="A112" s="23" t="s">
        <v>145</v>
      </c>
      <c r="B112" s="23" t="s">
        <v>16</v>
      </c>
      <c r="C112" s="23">
        <v>95</v>
      </c>
      <c r="D112" s="24" t="str" cm="1">
        <f t="array" ref="D112">_xlfn.IFS(CallData[[#This Row],[Duration]]&lt;=15,"Very short",CallData[[#This Row],[Duration]]&lt;=30,"Short",CallData[[#This Row],[Duration]]&lt;=60,"Medium",CallData[[#This Row],[Duration]]&gt;60,"Long")</f>
        <v>Long</v>
      </c>
      <c r="E112" s="24" t="s">
        <v>19</v>
      </c>
      <c r="F112" s="25">
        <v>44972</v>
      </c>
      <c r="G112" s="26">
        <v>120</v>
      </c>
      <c r="H112" s="26" t="str" cm="1">
        <f t="array" ref="H112">_xlfn.IFS(CallData[[#This Row],[Purchase Amount]]&lt;=50,"Low",CallData[[#This Row],[Purchase Amount]]&lt;=100,"Medium",CallData[[#This Row],[Purchase Amount]]&lt;=150,"High",CallData[[#This Row],[Purchase Amount]]&gt;150,"Very High")</f>
        <v>High</v>
      </c>
      <c r="I112" s="23">
        <v>4.8</v>
      </c>
      <c r="J112" s="23">
        <f>IF(MONTH('Call Data'!$F112)&lt;=6, YEAR('Call Data'!$F112), YEAR('Call Data'!$F112)+1)</f>
        <v>2023</v>
      </c>
      <c r="K112" s="23" t="str">
        <f>TEXT('Call Data'!$F112,"DDDD")</f>
        <v>Wednesday</v>
      </c>
      <c r="L112" s="23" t="s">
        <v>14</v>
      </c>
      <c r="M112" s="23">
        <f>ROUND('Call Data'!$I112,0)</f>
        <v>5</v>
      </c>
    </row>
    <row r="113" spans="1:13" ht="14.25" customHeight="1" x14ac:dyDescent="0.35">
      <c r="A113" s="23" t="s">
        <v>146</v>
      </c>
      <c r="B113" s="23" t="s">
        <v>50</v>
      </c>
      <c r="C113" s="23">
        <v>30</v>
      </c>
      <c r="D113" s="24" t="str" cm="1">
        <f t="array" ref="D113">_xlfn.IFS(CallData[[#This Row],[Duration]]&lt;=15,"Very short",CallData[[#This Row],[Duration]]&lt;=30,"Short",CallData[[#This Row],[Duration]]&lt;=60,"Medium",CallData[[#This Row],[Duration]]&gt;60,"Long")</f>
        <v>Short</v>
      </c>
      <c r="E113" s="24" t="s">
        <v>35</v>
      </c>
      <c r="F113" s="25">
        <v>44972</v>
      </c>
      <c r="G113" s="26">
        <v>105</v>
      </c>
      <c r="H113" s="26" t="str" cm="1">
        <f t="array" ref="H113">_xlfn.IFS(CallData[[#This Row],[Purchase Amount]]&lt;=50,"Low",CallData[[#This Row],[Purchase Amount]]&lt;=100,"Medium",CallData[[#This Row],[Purchase Amount]]&lt;=150,"High",CallData[[#This Row],[Purchase Amount]]&gt;150,"Very High")</f>
        <v>High</v>
      </c>
      <c r="I113" s="23">
        <v>3.6</v>
      </c>
      <c r="J113" s="23">
        <f>IF(MONTH('Call Data'!$F113)&lt;=6, YEAR('Call Data'!$F113), YEAR('Call Data'!$F113)+1)</f>
        <v>2023</v>
      </c>
      <c r="K113" s="23" t="str">
        <f>TEXT('Call Data'!$F113,"DDDD")</f>
        <v>Wednesday</v>
      </c>
      <c r="L113" s="23" t="s">
        <v>47</v>
      </c>
      <c r="M113" s="23">
        <f>ROUND('Call Data'!$I113,0)</f>
        <v>4</v>
      </c>
    </row>
    <row r="114" spans="1:13" ht="14.25" customHeight="1" x14ac:dyDescent="0.35">
      <c r="A114" s="23" t="s">
        <v>147</v>
      </c>
      <c r="B114" s="23" t="s">
        <v>23</v>
      </c>
      <c r="C114" s="23">
        <v>19</v>
      </c>
      <c r="D114" s="24" t="str" cm="1">
        <f t="array" ref="D114">_xlfn.IFS(CallData[[#This Row],[Duration]]&lt;=15,"Very short",CallData[[#This Row],[Duration]]&lt;=30,"Short",CallData[[#This Row],[Duration]]&lt;=60,"Medium",CallData[[#This Row],[Duration]]&gt;60,"Long")</f>
        <v>Short</v>
      </c>
      <c r="E114" s="24" t="s">
        <v>24</v>
      </c>
      <c r="F114" s="25">
        <v>44972</v>
      </c>
      <c r="G114" s="26">
        <v>28</v>
      </c>
      <c r="H114" s="26" t="str" cm="1">
        <f t="array" ref="H114">_xlfn.IFS(CallData[[#This Row],[Purchase Amount]]&lt;=50,"Low",CallData[[#This Row],[Purchase Amount]]&lt;=100,"Medium",CallData[[#This Row],[Purchase Amount]]&lt;=150,"High",CallData[[#This Row],[Purchase Amount]]&gt;150,"Very High")</f>
        <v>Low</v>
      </c>
      <c r="I114" s="23">
        <v>4.9000000000000004</v>
      </c>
      <c r="J114" s="23">
        <f>IF(MONTH('Call Data'!$F114)&lt;=6, YEAR('Call Data'!$F114), YEAR('Call Data'!$F114)+1)</f>
        <v>2023</v>
      </c>
      <c r="K114" s="23" t="str">
        <f>TEXT('Call Data'!$F114,"DDDD")</f>
        <v>Wednesday</v>
      </c>
      <c r="L114" s="23" t="s">
        <v>47</v>
      </c>
      <c r="M114" s="23">
        <f>ROUND('Call Data'!$I114,0)</f>
        <v>5</v>
      </c>
    </row>
    <row r="115" spans="1:13" ht="14.25" customHeight="1" x14ac:dyDescent="0.35">
      <c r="A115" s="23" t="s">
        <v>148</v>
      </c>
      <c r="B115" s="23" t="s">
        <v>34</v>
      </c>
      <c r="C115" s="23">
        <v>38</v>
      </c>
      <c r="D115" s="24" t="str" cm="1">
        <f t="array" ref="D115">_xlfn.IFS(CallData[[#This Row],[Duration]]&lt;=15,"Very short",CallData[[#This Row],[Duration]]&lt;=30,"Short",CallData[[#This Row],[Duration]]&lt;=60,"Medium",CallData[[#This Row],[Duration]]&gt;60,"Long")</f>
        <v>Medium</v>
      </c>
      <c r="E115" s="24" t="s">
        <v>31</v>
      </c>
      <c r="F115" s="25">
        <v>44972</v>
      </c>
      <c r="G115" s="26">
        <v>100</v>
      </c>
      <c r="H115" s="26" t="str" cm="1">
        <f t="array" ref="H115">_xlfn.IFS(CallData[[#This Row],[Purchase Amount]]&lt;=50,"Low",CallData[[#This Row],[Purchase Amount]]&lt;=100,"Medium",CallData[[#This Row],[Purchase Amount]]&lt;=150,"High",CallData[[#This Row],[Purchase Amount]]&gt;150,"Very High")</f>
        <v>Medium</v>
      </c>
      <c r="I115" s="23">
        <v>4.8</v>
      </c>
      <c r="J115" s="23">
        <f>IF(MONTH('Call Data'!$F115)&lt;=6, YEAR('Call Data'!$F115), YEAR('Call Data'!$F115)+1)</f>
        <v>2023</v>
      </c>
      <c r="K115" s="23" t="str">
        <f>TEXT('Call Data'!$F115,"DDDD")</f>
        <v>Wednesday</v>
      </c>
      <c r="L115" s="23" t="s">
        <v>27</v>
      </c>
      <c r="M115" s="23">
        <f>ROUND('Call Data'!$I115,0)</f>
        <v>5</v>
      </c>
    </row>
    <row r="116" spans="1:13" ht="14.25" customHeight="1" x14ac:dyDescent="0.35">
      <c r="A116" s="23" t="s">
        <v>149</v>
      </c>
      <c r="B116" s="23" t="s">
        <v>38</v>
      </c>
      <c r="C116" s="23">
        <v>55</v>
      </c>
      <c r="D116" s="24" t="str" cm="1">
        <f t="array" ref="D116">_xlfn.IFS(CallData[[#This Row],[Duration]]&lt;=15,"Very short",CallData[[#This Row],[Duration]]&lt;=30,"Short",CallData[[#This Row],[Duration]]&lt;=60,"Medium",CallData[[#This Row],[Duration]]&gt;60,"Long")</f>
        <v>Medium</v>
      </c>
      <c r="E116" s="24" t="s">
        <v>24</v>
      </c>
      <c r="F116" s="25">
        <v>44972</v>
      </c>
      <c r="G116" s="26">
        <v>23</v>
      </c>
      <c r="H116" s="26" t="str" cm="1">
        <f t="array" ref="H116">_xlfn.IFS(CallData[[#This Row],[Purchase Amount]]&lt;=50,"Low",CallData[[#This Row],[Purchase Amount]]&lt;=100,"Medium",CallData[[#This Row],[Purchase Amount]]&lt;=150,"High",CallData[[#This Row],[Purchase Amount]]&gt;150,"Very High")</f>
        <v>Low</v>
      </c>
      <c r="I116" s="23">
        <v>3.6</v>
      </c>
      <c r="J116" s="23">
        <f>IF(MONTH('Call Data'!$F116)&lt;=6, YEAR('Call Data'!$F116), YEAR('Call Data'!$F116)+1)</f>
        <v>2023</v>
      </c>
      <c r="K116" s="23" t="str">
        <f>TEXT('Call Data'!$F116,"DDDD")</f>
        <v>Wednesday</v>
      </c>
      <c r="L116" s="23" t="s">
        <v>27</v>
      </c>
      <c r="M116" s="23">
        <f>ROUND('Call Data'!$I116,0)</f>
        <v>4</v>
      </c>
    </row>
    <row r="117" spans="1:13" ht="14.25" customHeight="1" x14ac:dyDescent="0.35">
      <c r="A117" s="23" t="s">
        <v>150</v>
      </c>
      <c r="B117" s="23" t="s">
        <v>46</v>
      </c>
      <c r="C117" s="23">
        <v>27</v>
      </c>
      <c r="D117" s="24" t="str" cm="1">
        <f t="array" ref="D117">_xlfn.IFS(CallData[[#This Row],[Duration]]&lt;=15,"Very short",CallData[[#This Row],[Duration]]&lt;=30,"Short",CallData[[#This Row],[Duration]]&lt;=60,"Medium",CallData[[#This Row],[Duration]]&gt;60,"Long")</f>
        <v>Short</v>
      </c>
      <c r="E117" s="24" t="s">
        <v>35</v>
      </c>
      <c r="F117" s="25">
        <v>44973</v>
      </c>
      <c r="G117" s="26">
        <v>70</v>
      </c>
      <c r="H117" s="26" t="str" cm="1">
        <f t="array" ref="H117">_xlfn.IFS(CallData[[#This Row],[Purchase Amount]]&lt;=50,"Low",CallData[[#This Row],[Purchase Amount]]&lt;=100,"Medium",CallData[[#This Row],[Purchase Amount]]&lt;=150,"High",CallData[[#This Row],[Purchase Amount]]&gt;150,"Very High")</f>
        <v>Medium</v>
      </c>
      <c r="I117" s="23">
        <v>3.9</v>
      </c>
      <c r="J117" s="23">
        <f>IF(MONTH('Call Data'!$F117)&lt;=6, YEAR('Call Data'!$F117), YEAR('Call Data'!$F117)+1)</f>
        <v>2023</v>
      </c>
      <c r="K117" s="23" t="str">
        <f>TEXT('Call Data'!$F117,"DDDD")</f>
        <v>Thursday</v>
      </c>
      <c r="L117" s="23" t="s">
        <v>47</v>
      </c>
      <c r="M117" s="23">
        <f>ROUND('Call Data'!$I117,0)</f>
        <v>4</v>
      </c>
    </row>
    <row r="118" spans="1:13" ht="14.25" customHeight="1" x14ac:dyDescent="0.35">
      <c r="A118" s="23" t="s">
        <v>151</v>
      </c>
      <c r="B118" s="23" t="s">
        <v>46</v>
      </c>
      <c r="C118" s="23">
        <v>32</v>
      </c>
      <c r="D118" s="24" t="str" cm="1">
        <f t="array" ref="D118">_xlfn.IFS(CallData[[#This Row],[Duration]]&lt;=15,"Very short",CallData[[#This Row],[Duration]]&lt;=30,"Short",CallData[[#This Row],[Duration]]&lt;=60,"Medium",CallData[[#This Row],[Duration]]&gt;60,"Long")</f>
        <v>Medium</v>
      </c>
      <c r="E118" s="24" t="s">
        <v>35</v>
      </c>
      <c r="F118" s="25">
        <v>44973</v>
      </c>
      <c r="G118" s="26">
        <v>37</v>
      </c>
      <c r="H118" s="26" t="str" cm="1">
        <f t="array" ref="H118">_xlfn.IFS(CallData[[#This Row],[Purchase Amount]]&lt;=50,"Low",CallData[[#This Row],[Purchase Amount]]&lt;=100,"Medium",CallData[[#This Row],[Purchase Amount]]&lt;=150,"High",CallData[[#This Row],[Purchase Amount]]&gt;150,"Very High")</f>
        <v>Low</v>
      </c>
      <c r="I118" s="23">
        <v>1.9</v>
      </c>
      <c r="J118" s="23">
        <f>IF(MONTH('Call Data'!$F118)&lt;=6, YEAR('Call Data'!$F118), YEAR('Call Data'!$F118)+1)</f>
        <v>2023</v>
      </c>
      <c r="K118" s="23" t="str">
        <f>TEXT('Call Data'!$F118,"DDDD")</f>
        <v>Thursday</v>
      </c>
      <c r="L118" s="23" t="s">
        <v>27</v>
      </c>
      <c r="M118" s="23">
        <f>ROUND('Call Data'!$I118,0)</f>
        <v>2</v>
      </c>
    </row>
    <row r="119" spans="1:13" ht="14.25" customHeight="1" x14ac:dyDescent="0.35">
      <c r="A119" s="23" t="s">
        <v>152</v>
      </c>
      <c r="B119" s="23" t="s">
        <v>40</v>
      </c>
      <c r="C119" s="23">
        <v>116</v>
      </c>
      <c r="D119" s="24" t="str" cm="1">
        <f t="array" ref="D119">_xlfn.IFS(CallData[[#This Row],[Duration]]&lt;=15,"Very short",CallData[[#This Row],[Duration]]&lt;=30,"Short",CallData[[#This Row],[Duration]]&lt;=60,"Medium",CallData[[#This Row],[Duration]]&gt;60,"Long")</f>
        <v>Long</v>
      </c>
      <c r="E119" s="24" t="s">
        <v>13</v>
      </c>
      <c r="F119" s="25">
        <v>44973</v>
      </c>
      <c r="G119" s="26">
        <v>140</v>
      </c>
      <c r="H119" s="26" t="str" cm="1">
        <f t="array" ref="H119">_xlfn.IFS(CallData[[#This Row],[Purchase Amount]]&lt;=50,"Low",CallData[[#This Row],[Purchase Amount]]&lt;=100,"Medium",CallData[[#This Row],[Purchase Amount]]&lt;=150,"High",CallData[[#This Row],[Purchase Amount]]&gt;150,"Very High")</f>
        <v>High</v>
      </c>
      <c r="I119" s="23">
        <v>3.6</v>
      </c>
      <c r="J119" s="23">
        <f>IF(MONTH('Call Data'!$F119)&lt;=6, YEAR('Call Data'!$F119), YEAR('Call Data'!$F119)+1)</f>
        <v>2023</v>
      </c>
      <c r="K119" s="23" t="str">
        <f>TEXT('Call Data'!$F119,"DDDD")</f>
        <v>Thursday</v>
      </c>
      <c r="L119" s="23" t="s">
        <v>14</v>
      </c>
      <c r="M119" s="23">
        <f>ROUND('Call Data'!$I119,0)</f>
        <v>4</v>
      </c>
    </row>
    <row r="120" spans="1:13" ht="14.25" customHeight="1" x14ac:dyDescent="0.35">
      <c r="A120" s="23" t="s">
        <v>153</v>
      </c>
      <c r="B120" s="23" t="s">
        <v>12</v>
      </c>
      <c r="C120" s="23">
        <v>99</v>
      </c>
      <c r="D120" s="24" t="str" cm="1">
        <f t="array" ref="D120">_xlfn.IFS(CallData[[#This Row],[Duration]]&lt;=15,"Very short",CallData[[#This Row],[Duration]]&lt;=30,"Short",CallData[[#This Row],[Duration]]&lt;=60,"Medium",CallData[[#This Row],[Duration]]&gt;60,"Long")</f>
        <v>Long</v>
      </c>
      <c r="E120" s="24" t="s">
        <v>19</v>
      </c>
      <c r="F120" s="25">
        <v>44973</v>
      </c>
      <c r="G120" s="26">
        <v>78</v>
      </c>
      <c r="H120" s="26" t="str" cm="1">
        <f t="array" ref="H120">_xlfn.IFS(CallData[[#This Row],[Purchase Amount]]&lt;=50,"Low",CallData[[#This Row],[Purchase Amount]]&lt;=100,"Medium",CallData[[#This Row],[Purchase Amount]]&lt;=150,"High",CallData[[#This Row],[Purchase Amount]]&gt;150,"Very High")</f>
        <v>Medium</v>
      </c>
      <c r="I120" s="23">
        <v>4.0999999999999996</v>
      </c>
      <c r="J120" s="23">
        <f>IF(MONTH('Call Data'!$F120)&lt;=6, YEAR('Call Data'!$F120), YEAR('Call Data'!$F120)+1)</f>
        <v>2023</v>
      </c>
      <c r="K120" s="23" t="str">
        <f>TEXT('Call Data'!$F120,"DDDD")</f>
        <v>Thursday</v>
      </c>
      <c r="L120" s="23" t="s">
        <v>14</v>
      </c>
      <c r="M120" s="23">
        <f>ROUND('Call Data'!$I120,0)</f>
        <v>4</v>
      </c>
    </row>
    <row r="121" spans="1:13" ht="14.25" customHeight="1" x14ac:dyDescent="0.35">
      <c r="A121" s="23" t="s">
        <v>154</v>
      </c>
      <c r="B121" s="23" t="s">
        <v>16</v>
      </c>
      <c r="C121" s="23">
        <v>75</v>
      </c>
      <c r="D121" s="24" t="str" cm="1">
        <f t="array" ref="D121">_xlfn.IFS(CallData[[#This Row],[Duration]]&lt;=15,"Very short",CallData[[#This Row],[Duration]]&lt;=30,"Short",CallData[[#This Row],[Duration]]&lt;=60,"Medium",CallData[[#This Row],[Duration]]&gt;60,"Long")</f>
        <v>Long</v>
      </c>
      <c r="E121" s="24" t="s">
        <v>35</v>
      </c>
      <c r="F121" s="25">
        <v>44974</v>
      </c>
      <c r="G121" s="26">
        <v>21</v>
      </c>
      <c r="H121" s="26" t="str" cm="1">
        <f t="array" ref="H121">_xlfn.IFS(CallData[[#This Row],[Purchase Amount]]&lt;=50,"Low",CallData[[#This Row],[Purchase Amount]]&lt;=100,"Medium",CallData[[#This Row],[Purchase Amount]]&lt;=150,"High",CallData[[#This Row],[Purchase Amount]]&gt;150,"Very High")</f>
        <v>Low</v>
      </c>
      <c r="I121" s="23">
        <v>4.2</v>
      </c>
      <c r="J121" s="23">
        <f>IF(MONTH('Call Data'!$F121)&lt;=6, YEAR('Call Data'!$F121), YEAR('Call Data'!$F121)+1)</f>
        <v>2023</v>
      </c>
      <c r="K121" s="23" t="str">
        <f>TEXT('Call Data'!$F121,"DDDD")</f>
        <v>Friday</v>
      </c>
      <c r="L121" s="23" t="s">
        <v>14</v>
      </c>
      <c r="M121" s="23">
        <f>ROUND('Call Data'!$I121,0)</f>
        <v>4</v>
      </c>
    </row>
    <row r="122" spans="1:13" ht="14.25" customHeight="1" x14ac:dyDescent="0.35">
      <c r="A122" s="23" t="s">
        <v>155</v>
      </c>
      <c r="B122" s="23" t="s">
        <v>18</v>
      </c>
      <c r="C122" s="23">
        <v>57</v>
      </c>
      <c r="D122" s="24" t="str" cm="1">
        <f t="array" ref="D122">_xlfn.IFS(CallData[[#This Row],[Duration]]&lt;=15,"Very short",CallData[[#This Row],[Duration]]&lt;=30,"Short",CallData[[#This Row],[Duration]]&lt;=60,"Medium",CallData[[#This Row],[Duration]]&gt;60,"Long")</f>
        <v>Medium</v>
      </c>
      <c r="E122" s="24" t="s">
        <v>13</v>
      </c>
      <c r="F122" s="25">
        <v>44974</v>
      </c>
      <c r="G122" s="26">
        <v>88</v>
      </c>
      <c r="H122" s="26" t="str" cm="1">
        <f t="array" ref="H122">_xlfn.IFS(CallData[[#This Row],[Purchase Amount]]&lt;=50,"Low",CallData[[#This Row],[Purchase Amount]]&lt;=100,"Medium",CallData[[#This Row],[Purchase Amount]]&lt;=150,"High",CallData[[#This Row],[Purchase Amount]]&gt;150,"Very High")</f>
        <v>Medium</v>
      </c>
      <c r="I122" s="23">
        <v>4.3</v>
      </c>
      <c r="J122" s="23">
        <f>IF(MONTH('Call Data'!$F122)&lt;=6, YEAR('Call Data'!$F122), YEAR('Call Data'!$F122)+1)</f>
        <v>2023</v>
      </c>
      <c r="K122" s="23" t="str">
        <f>TEXT('Call Data'!$F122,"DDDD")</f>
        <v>Friday</v>
      </c>
      <c r="L122" s="23" t="s">
        <v>27</v>
      </c>
      <c r="M122" s="23">
        <f>ROUND('Call Data'!$I122,0)</f>
        <v>4</v>
      </c>
    </row>
    <row r="123" spans="1:13" ht="14.25" customHeight="1" x14ac:dyDescent="0.35">
      <c r="A123" s="23" t="s">
        <v>156</v>
      </c>
      <c r="B123" s="23" t="s">
        <v>29</v>
      </c>
      <c r="C123" s="23">
        <v>155</v>
      </c>
      <c r="D123" s="24" t="str" cm="1">
        <f t="array" ref="D123">_xlfn.IFS(CallData[[#This Row],[Duration]]&lt;=15,"Very short",CallData[[#This Row],[Duration]]&lt;=30,"Short",CallData[[#This Row],[Duration]]&lt;=60,"Medium",CallData[[#This Row],[Duration]]&gt;60,"Long")</f>
        <v>Long</v>
      </c>
      <c r="E123" s="24" t="s">
        <v>13</v>
      </c>
      <c r="F123" s="25">
        <v>44975</v>
      </c>
      <c r="G123" s="26">
        <v>180</v>
      </c>
      <c r="H123" s="26" t="str" cm="1">
        <f t="array" ref="H123">_xlfn.IFS(CallData[[#This Row],[Purchase Amount]]&lt;=50,"Low",CallData[[#This Row],[Purchase Amount]]&lt;=100,"Medium",CallData[[#This Row],[Purchase Amount]]&lt;=150,"High",CallData[[#This Row],[Purchase Amount]]&gt;150,"Very High")</f>
        <v>Very High</v>
      </c>
      <c r="I123" s="23">
        <v>2.2000000000000002</v>
      </c>
      <c r="J123" s="23">
        <f>IF(MONTH('Call Data'!$F123)&lt;=6, YEAR('Call Data'!$F123), YEAR('Call Data'!$F123)+1)</f>
        <v>2023</v>
      </c>
      <c r="K123" s="23" t="str">
        <f>TEXT('Call Data'!$F123,"DDDD")</f>
        <v>Saturday</v>
      </c>
      <c r="L123" s="23" t="s">
        <v>25</v>
      </c>
      <c r="M123" s="23">
        <f>ROUND('Call Data'!$I123,0)</f>
        <v>2</v>
      </c>
    </row>
    <row r="124" spans="1:13" ht="14.25" customHeight="1" x14ac:dyDescent="0.35">
      <c r="A124" s="23" t="s">
        <v>157</v>
      </c>
      <c r="B124" s="23" t="s">
        <v>12</v>
      </c>
      <c r="C124" s="23">
        <v>68</v>
      </c>
      <c r="D124" s="24" t="str" cm="1">
        <f t="array" ref="D124">_xlfn.IFS(CallData[[#This Row],[Duration]]&lt;=15,"Very short",CallData[[#This Row],[Duration]]&lt;=30,"Short",CallData[[#This Row],[Duration]]&lt;=60,"Medium",CallData[[#This Row],[Duration]]&gt;60,"Long")</f>
        <v>Long</v>
      </c>
      <c r="E124" s="24" t="s">
        <v>19</v>
      </c>
      <c r="F124" s="25">
        <v>44975</v>
      </c>
      <c r="G124" s="26">
        <v>22</v>
      </c>
      <c r="H124" s="26" t="str" cm="1">
        <f t="array" ref="H124">_xlfn.IFS(CallData[[#This Row],[Purchase Amount]]&lt;=50,"Low",CallData[[#This Row],[Purchase Amount]]&lt;=100,"Medium",CallData[[#This Row],[Purchase Amount]]&lt;=150,"High",CallData[[#This Row],[Purchase Amount]]&gt;150,"Very High")</f>
        <v>Low</v>
      </c>
      <c r="I124" s="23">
        <v>3.3</v>
      </c>
      <c r="J124" s="23">
        <f>IF(MONTH('Call Data'!$F124)&lt;=6, YEAR('Call Data'!$F124), YEAR('Call Data'!$F124)+1)</f>
        <v>2023</v>
      </c>
      <c r="K124" s="23" t="str">
        <f>TEXT('Call Data'!$F124,"DDDD")</f>
        <v>Saturday</v>
      </c>
      <c r="L124" s="23" t="s">
        <v>14</v>
      </c>
      <c r="M124" s="23">
        <f>ROUND('Call Data'!$I124,0)</f>
        <v>3</v>
      </c>
    </row>
    <row r="125" spans="1:13" ht="14.25" customHeight="1" x14ac:dyDescent="0.35">
      <c r="A125" s="23" t="s">
        <v>158</v>
      </c>
      <c r="B125" s="23" t="s">
        <v>34</v>
      </c>
      <c r="C125" s="23">
        <v>95</v>
      </c>
      <c r="D125" s="24" t="str" cm="1">
        <f t="array" ref="D125">_xlfn.IFS(CallData[[#This Row],[Duration]]&lt;=15,"Very short",CallData[[#This Row],[Duration]]&lt;=30,"Short",CallData[[#This Row],[Duration]]&lt;=60,"Medium",CallData[[#This Row],[Duration]]&gt;60,"Long")</f>
        <v>Long</v>
      </c>
      <c r="E125" s="24" t="s">
        <v>19</v>
      </c>
      <c r="F125" s="25">
        <v>44975</v>
      </c>
      <c r="G125" s="26">
        <v>52</v>
      </c>
      <c r="H125" s="26" t="str" cm="1">
        <f t="array" ref="H125">_xlfn.IFS(CallData[[#This Row],[Purchase Amount]]&lt;=50,"Low",CallData[[#This Row],[Purchase Amount]]&lt;=100,"Medium",CallData[[#This Row],[Purchase Amount]]&lt;=150,"High",CallData[[#This Row],[Purchase Amount]]&gt;150,"Very High")</f>
        <v>Medium</v>
      </c>
      <c r="I125" s="23">
        <v>4.8</v>
      </c>
      <c r="J125" s="23">
        <f>IF(MONTH('Call Data'!$F125)&lt;=6, YEAR('Call Data'!$F125), YEAR('Call Data'!$F125)+1)</f>
        <v>2023</v>
      </c>
      <c r="K125" s="23" t="str">
        <f>TEXT('Call Data'!$F125,"DDDD")</f>
        <v>Saturday</v>
      </c>
      <c r="L125" s="23" t="s">
        <v>14</v>
      </c>
      <c r="M125" s="23">
        <f>ROUND('Call Data'!$I125,0)</f>
        <v>5</v>
      </c>
    </row>
    <row r="126" spans="1:13" ht="14.25" customHeight="1" x14ac:dyDescent="0.35">
      <c r="A126" s="23" t="s">
        <v>159</v>
      </c>
      <c r="B126" s="23" t="s">
        <v>55</v>
      </c>
      <c r="C126" s="23">
        <v>65</v>
      </c>
      <c r="D126" s="24" t="str" cm="1">
        <f t="array" ref="D126">_xlfn.IFS(CallData[[#This Row],[Duration]]&lt;=15,"Very short",CallData[[#This Row],[Duration]]&lt;=30,"Short",CallData[[#This Row],[Duration]]&lt;=60,"Medium",CallData[[#This Row],[Duration]]&gt;60,"Long")</f>
        <v>Long</v>
      </c>
      <c r="E126" s="24" t="s">
        <v>13</v>
      </c>
      <c r="F126" s="25">
        <v>44976</v>
      </c>
      <c r="G126" s="26">
        <v>80</v>
      </c>
      <c r="H126" s="26" t="str" cm="1">
        <f t="array" ref="H126">_xlfn.IFS(CallData[[#This Row],[Purchase Amount]]&lt;=50,"Low",CallData[[#This Row],[Purchase Amount]]&lt;=100,"Medium",CallData[[#This Row],[Purchase Amount]]&lt;=150,"High",CallData[[#This Row],[Purchase Amount]]&gt;150,"Very High")</f>
        <v>Medium</v>
      </c>
      <c r="I126" s="23">
        <v>4</v>
      </c>
      <c r="J126" s="23">
        <f>IF(MONTH('Call Data'!$F126)&lt;=6, YEAR('Call Data'!$F126), YEAR('Call Data'!$F126)+1)</f>
        <v>2023</v>
      </c>
      <c r="K126" s="23" t="str">
        <f>TEXT('Call Data'!$F126,"DDDD")</f>
        <v>Sunday</v>
      </c>
      <c r="L126" s="23" t="s">
        <v>14</v>
      </c>
      <c r="M126" s="23">
        <f>ROUND('Call Data'!$I126,0)</f>
        <v>4</v>
      </c>
    </row>
    <row r="127" spans="1:13" ht="14.25" customHeight="1" x14ac:dyDescent="0.35">
      <c r="A127" s="23" t="s">
        <v>160</v>
      </c>
      <c r="B127" s="23" t="s">
        <v>23</v>
      </c>
      <c r="C127" s="23">
        <v>114</v>
      </c>
      <c r="D127" s="24" t="str" cm="1">
        <f t="array" ref="D127">_xlfn.IFS(CallData[[#This Row],[Duration]]&lt;=15,"Very short",CallData[[#This Row],[Duration]]&lt;=30,"Short",CallData[[#This Row],[Duration]]&lt;=60,"Medium",CallData[[#This Row],[Duration]]&gt;60,"Long")</f>
        <v>Long</v>
      </c>
      <c r="E127" s="24" t="s">
        <v>24</v>
      </c>
      <c r="F127" s="25">
        <v>44976</v>
      </c>
      <c r="G127" s="26">
        <v>54</v>
      </c>
      <c r="H127" s="26" t="str" cm="1">
        <f t="array" ref="H127">_xlfn.IFS(CallData[[#This Row],[Purchase Amount]]&lt;=50,"Low",CallData[[#This Row],[Purchase Amount]]&lt;=100,"Medium",CallData[[#This Row],[Purchase Amount]]&lt;=150,"High",CallData[[#This Row],[Purchase Amount]]&gt;150,"Very High")</f>
        <v>Medium</v>
      </c>
      <c r="I127" s="23">
        <v>1.1000000000000001</v>
      </c>
      <c r="J127" s="23">
        <f>IF(MONTH('Call Data'!$F127)&lt;=6, YEAR('Call Data'!$F127), YEAR('Call Data'!$F127)+1)</f>
        <v>2023</v>
      </c>
      <c r="K127" s="23" t="str">
        <f>TEXT('Call Data'!$F127,"DDDD")</f>
        <v>Sunday</v>
      </c>
      <c r="L127" s="23" t="s">
        <v>14</v>
      </c>
      <c r="M127" s="23">
        <f>ROUND('Call Data'!$I127,0)</f>
        <v>1</v>
      </c>
    </row>
    <row r="128" spans="1:13" ht="14.25" customHeight="1" x14ac:dyDescent="0.35">
      <c r="A128" s="23" t="s">
        <v>161</v>
      </c>
      <c r="B128" s="23" t="s">
        <v>16</v>
      </c>
      <c r="C128" s="23">
        <v>155</v>
      </c>
      <c r="D128" s="24" t="str" cm="1">
        <f t="array" ref="D128">_xlfn.IFS(CallData[[#This Row],[Duration]]&lt;=15,"Very short",CallData[[#This Row],[Duration]]&lt;=30,"Short",CallData[[#This Row],[Duration]]&lt;=60,"Medium",CallData[[#This Row],[Duration]]&gt;60,"Long")</f>
        <v>Long</v>
      </c>
      <c r="E128" s="24" t="s">
        <v>24</v>
      </c>
      <c r="F128" s="25">
        <v>44977</v>
      </c>
      <c r="G128" s="26">
        <v>80</v>
      </c>
      <c r="H128" s="26" t="str" cm="1">
        <f t="array" ref="H128">_xlfn.IFS(CallData[[#This Row],[Purchase Amount]]&lt;=50,"Low",CallData[[#This Row],[Purchase Amount]]&lt;=100,"Medium",CallData[[#This Row],[Purchase Amount]]&lt;=150,"High",CallData[[#This Row],[Purchase Amount]]&gt;150,"Very High")</f>
        <v>Medium</v>
      </c>
      <c r="I128" s="23">
        <v>3.9</v>
      </c>
      <c r="J128" s="23">
        <f>IF(MONTH('Call Data'!$F128)&lt;=6, YEAR('Call Data'!$F128), YEAR('Call Data'!$F128)+1)</f>
        <v>2023</v>
      </c>
      <c r="K128" s="23" t="str">
        <f>TEXT('Call Data'!$F128,"DDDD")</f>
        <v>Monday</v>
      </c>
      <c r="L128" s="23" t="s">
        <v>25</v>
      </c>
      <c r="M128" s="23">
        <f>ROUND('Call Data'!$I128,0)</f>
        <v>4</v>
      </c>
    </row>
    <row r="129" spans="1:13" ht="14.25" customHeight="1" x14ac:dyDescent="0.35">
      <c r="A129" s="23" t="s">
        <v>162</v>
      </c>
      <c r="B129" s="23" t="s">
        <v>55</v>
      </c>
      <c r="C129" s="23">
        <v>114</v>
      </c>
      <c r="D129" s="24" t="str" cm="1">
        <f t="array" ref="D129">_xlfn.IFS(CallData[[#This Row],[Duration]]&lt;=15,"Very short",CallData[[#This Row],[Duration]]&lt;=30,"Short",CallData[[#This Row],[Duration]]&lt;=60,"Medium",CallData[[#This Row],[Duration]]&gt;60,"Long")</f>
        <v>Long</v>
      </c>
      <c r="E129" s="24" t="s">
        <v>13</v>
      </c>
      <c r="F129" s="25">
        <v>44978</v>
      </c>
      <c r="G129" s="26">
        <v>120</v>
      </c>
      <c r="H129" s="26" t="str" cm="1">
        <f t="array" ref="H129">_xlfn.IFS(CallData[[#This Row],[Purchase Amount]]&lt;=50,"Low",CallData[[#This Row],[Purchase Amount]]&lt;=100,"Medium",CallData[[#This Row],[Purchase Amount]]&lt;=150,"High",CallData[[#This Row],[Purchase Amount]]&gt;150,"Very High")</f>
        <v>High</v>
      </c>
      <c r="I129" s="23">
        <v>1.8</v>
      </c>
      <c r="J129" s="23">
        <f>IF(MONTH('Call Data'!$F129)&lt;=6, YEAR('Call Data'!$F129), YEAR('Call Data'!$F129)+1)</f>
        <v>2023</v>
      </c>
      <c r="K129" s="23" t="str">
        <f>TEXT('Call Data'!$F129,"DDDD")</f>
        <v>Tuesday</v>
      </c>
      <c r="L129" s="23" t="s">
        <v>14</v>
      </c>
      <c r="M129" s="23">
        <f>ROUND('Call Data'!$I129,0)</f>
        <v>2</v>
      </c>
    </row>
    <row r="130" spans="1:13" ht="14.25" customHeight="1" x14ac:dyDescent="0.35">
      <c r="A130" s="23" t="s">
        <v>163</v>
      </c>
      <c r="B130" s="23" t="s">
        <v>29</v>
      </c>
      <c r="C130" s="23">
        <v>130</v>
      </c>
      <c r="D130" s="24" t="str" cm="1">
        <f t="array" ref="D130">_xlfn.IFS(CallData[[#This Row],[Duration]]&lt;=15,"Very short",CallData[[#This Row],[Duration]]&lt;=30,"Short",CallData[[#This Row],[Duration]]&lt;=60,"Medium",CallData[[#This Row],[Duration]]&gt;60,"Long")</f>
        <v>Long</v>
      </c>
      <c r="E130" s="24" t="s">
        <v>31</v>
      </c>
      <c r="F130" s="25">
        <v>44978</v>
      </c>
      <c r="G130" s="26">
        <v>150</v>
      </c>
      <c r="H130" s="26" t="str" cm="1">
        <f t="array" ref="H130">_xlfn.IFS(CallData[[#This Row],[Purchase Amount]]&lt;=50,"Low",CallData[[#This Row],[Purchase Amount]]&lt;=100,"Medium",CallData[[#This Row],[Purchase Amount]]&lt;=150,"High",CallData[[#This Row],[Purchase Amount]]&gt;150,"Very High")</f>
        <v>High</v>
      </c>
      <c r="I130" s="23">
        <v>1</v>
      </c>
      <c r="J130" s="23">
        <f>IF(MONTH('Call Data'!$F130)&lt;=6, YEAR('Call Data'!$F130), YEAR('Call Data'!$F130)+1)</f>
        <v>2023</v>
      </c>
      <c r="K130" s="23" t="str">
        <f>TEXT('Call Data'!$F130,"DDDD")</f>
        <v>Tuesday</v>
      </c>
      <c r="L130" s="23" t="s">
        <v>25</v>
      </c>
      <c r="M130" s="23">
        <f>ROUND('Call Data'!$I130,0)</f>
        <v>1</v>
      </c>
    </row>
    <row r="131" spans="1:13" ht="14.25" customHeight="1" x14ac:dyDescent="0.35">
      <c r="A131" s="23" t="s">
        <v>164</v>
      </c>
      <c r="B131" s="23" t="s">
        <v>16</v>
      </c>
      <c r="C131" s="23">
        <v>89</v>
      </c>
      <c r="D131" s="24" t="str" cm="1">
        <f t="array" ref="D131">_xlfn.IFS(CallData[[#This Row],[Duration]]&lt;=15,"Very short",CallData[[#This Row],[Duration]]&lt;=30,"Short",CallData[[#This Row],[Duration]]&lt;=60,"Medium",CallData[[#This Row],[Duration]]&gt;60,"Long")</f>
        <v>Long</v>
      </c>
      <c r="E131" s="24" t="s">
        <v>13</v>
      </c>
      <c r="F131" s="25">
        <v>44978</v>
      </c>
      <c r="G131" s="26">
        <v>90</v>
      </c>
      <c r="H131" s="26" t="str" cm="1">
        <f t="array" ref="H131">_xlfn.IFS(CallData[[#This Row],[Purchase Amount]]&lt;=50,"Low",CallData[[#This Row],[Purchase Amount]]&lt;=100,"Medium",CallData[[#This Row],[Purchase Amount]]&lt;=150,"High",CallData[[#This Row],[Purchase Amount]]&gt;150,"Very High")</f>
        <v>Medium</v>
      </c>
      <c r="I131" s="23">
        <v>4.3</v>
      </c>
      <c r="J131" s="23">
        <f>IF(MONTH('Call Data'!$F131)&lt;=6, YEAR('Call Data'!$F131), YEAR('Call Data'!$F131)+1)</f>
        <v>2023</v>
      </c>
      <c r="K131" s="23" t="str">
        <f>TEXT('Call Data'!$F131,"DDDD")</f>
        <v>Tuesday</v>
      </c>
      <c r="L131" s="23" t="s">
        <v>14</v>
      </c>
      <c r="M131" s="23">
        <f>ROUND('Call Data'!$I131,0)</f>
        <v>4</v>
      </c>
    </row>
    <row r="132" spans="1:13" ht="14.25" customHeight="1" x14ac:dyDescent="0.35">
      <c r="A132" s="23" t="s">
        <v>165</v>
      </c>
      <c r="B132" s="23" t="s">
        <v>68</v>
      </c>
      <c r="C132" s="23">
        <v>61</v>
      </c>
      <c r="D132" s="24" t="str" cm="1">
        <f t="array" ref="D132">_xlfn.IFS(CallData[[#This Row],[Duration]]&lt;=15,"Very short",CallData[[#This Row],[Duration]]&lt;=30,"Short",CallData[[#This Row],[Duration]]&lt;=60,"Medium",CallData[[#This Row],[Duration]]&gt;60,"Long")</f>
        <v>Long</v>
      </c>
      <c r="E132" s="24" t="s">
        <v>35</v>
      </c>
      <c r="F132" s="25">
        <v>44979</v>
      </c>
      <c r="G132" s="26">
        <v>140</v>
      </c>
      <c r="H132" s="26" t="str" cm="1">
        <f t="array" ref="H132">_xlfn.IFS(CallData[[#This Row],[Purchase Amount]]&lt;=50,"Low",CallData[[#This Row],[Purchase Amount]]&lt;=100,"Medium",CallData[[#This Row],[Purchase Amount]]&lt;=150,"High",CallData[[#This Row],[Purchase Amount]]&gt;150,"Very High")</f>
        <v>High</v>
      </c>
      <c r="I132" s="23">
        <v>3.4</v>
      </c>
      <c r="J132" s="23">
        <f>IF(MONTH('Call Data'!$F132)&lt;=6, YEAR('Call Data'!$F132), YEAR('Call Data'!$F132)+1)</f>
        <v>2023</v>
      </c>
      <c r="K132" s="23" t="str">
        <f>TEXT('Call Data'!$F132,"DDDD")</f>
        <v>Wednesday</v>
      </c>
      <c r="L132" s="23" t="s">
        <v>14</v>
      </c>
      <c r="M132" s="23">
        <f>ROUND('Call Data'!$I132,0)</f>
        <v>3</v>
      </c>
    </row>
    <row r="133" spans="1:13" ht="14.25" customHeight="1" x14ac:dyDescent="0.35">
      <c r="A133" s="23" t="s">
        <v>166</v>
      </c>
      <c r="B133" s="23" t="s">
        <v>34</v>
      </c>
      <c r="C133" s="23">
        <v>154</v>
      </c>
      <c r="D133" s="24" t="str" cm="1">
        <f t="array" ref="D133">_xlfn.IFS(CallData[[#This Row],[Duration]]&lt;=15,"Very short",CallData[[#This Row],[Duration]]&lt;=30,"Short",CallData[[#This Row],[Duration]]&lt;=60,"Medium",CallData[[#This Row],[Duration]]&gt;60,"Long")</f>
        <v>Long</v>
      </c>
      <c r="E133" s="24" t="s">
        <v>24</v>
      </c>
      <c r="F133" s="25">
        <v>44979</v>
      </c>
      <c r="G133" s="26">
        <v>22</v>
      </c>
      <c r="H133" s="26" t="str" cm="1">
        <f t="array" ref="H133">_xlfn.IFS(CallData[[#This Row],[Purchase Amount]]&lt;=50,"Low",CallData[[#This Row],[Purchase Amount]]&lt;=100,"Medium",CallData[[#This Row],[Purchase Amount]]&lt;=150,"High",CallData[[#This Row],[Purchase Amount]]&gt;150,"Very High")</f>
        <v>Low</v>
      </c>
      <c r="I133" s="23">
        <v>3.4</v>
      </c>
      <c r="J133" s="23">
        <f>IF(MONTH('Call Data'!$F133)&lt;=6, YEAR('Call Data'!$F133), YEAR('Call Data'!$F133)+1)</f>
        <v>2023</v>
      </c>
      <c r="K133" s="23" t="str">
        <f>TEXT('Call Data'!$F133,"DDDD")</f>
        <v>Wednesday</v>
      </c>
      <c r="L133" s="23" t="s">
        <v>25</v>
      </c>
      <c r="M133" s="23">
        <f>ROUND('Call Data'!$I133,0)</f>
        <v>3</v>
      </c>
    </row>
    <row r="134" spans="1:13" ht="14.25" customHeight="1" x14ac:dyDescent="0.35">
      <c r="A134" s="23" t="s">
        <v>167</v>
      </c>
      <c r="B134" s="23" t="s">
        <v>55</v>
      </c>
      <c r="C134" s="23">
        <v>115</v>
      </c>
      <c r="D134" s="24" t="str" cm="1">
        <f t="array" ref="D134">_xlfn.IFS(CallData[[#This Row],[Duration]]&lt;=15,"Very short",CallData[[#This Row],[Duration]]&lt;=30,"Short",CallData[[#This Row],[Duration]]&lt;=60,"Medium",CallData[[#This Row],[Duration]]&gt;60,"Long")</f>
        <v>Long</v>
      </c>
      <c r="E134" s="24" t="s">
        <v>31</v>
      </c>
      <c r="F134" s="25">
        <v>44980</v>
      </c>
      <c r="G134" s="26">
        <v>150</v>
      </c>
      <c r="H134" s="26" t="str" cm="1">
        <f t="array" ref="H134">_xlfn.IFS(CallData[[#This Row],[Purchase Amount]]&lt;=50,"Low",CallData[[#This Row],[Purchase Amount]]&lt;=100,"Medium",CallData[[#This Row],[Purchase Amount]]&lt;=150,"High",CallData[[#This Row],[Purchase Amount]]&gt;150,"Very High")</f>
        <v>High</v>
      </c>
      <c r="I134" s="23">
        <v>4.0999999999999996</v>
      </c>
      <c r="J134" s="23">
        <f>IF(MONTH('Call Data'!$F134)&lt;=6, YEAR('Call Data'!$F134), YEAR('Call Data'!$F134)+1)</f>
        <v>2023</v>
      </c>
      <c r="K134" s="23" t="str">
        <f>TEXT('Call Data'!$F134,"DDDD")</f>
        <v>Thursday</v>
      </c>
      <c r="L134" s="23" t="s">
        <v>14</v>
      </c>
      <c r="M134" s="23">
        <f>ROUND('Call Data'!$I134,0)</f>
        <v>4</v>
      </c>
    </row>
    <row r="135" spans="1:13" ht="14.25" customHeight="1" x14ac:dyDescent="0.35">
      <c r="A135" s="23" t="s">
        <v>168</v>
      </c>
      <c r="B135" s="23" t="s">
        <v>88</v>
      </c>
      <c r="C135" s="23">
        <v>138</v>
      </c>
      <c r="D135" s="24" t="str" cm="1">
        <f t="array" ref="D135">_xlfn.IFS(CallData[[#This Row],[Duration]]&lt;=15,"Very short",CallData[[#This Row],[Duration]]&lt;=30,"Short",CallData[[#This Row],[Duration]]&lt;=60,"Medium",CallData[[#This Row],[Duration]]&gt;60,"Long")</f>
        <v>Long</v>
      </c>
      <c r="E135" s="24" t="s">
        <v>19</v>
      </c>
      <c r="F135" s="25">
        <v>44981</v>
      </c>
      <c r="G135" s="26">
        <v>35</v>
      </c>
      <c r="H135" s="26" t="str" cm="1">
        <f t="array" ref="H135">_xlfn.IFS(CallData[[#This Row],[Purchase Amount]]&lt;=50,"Low",CallData[[#This Row],[Purchase Amount]]&lt;=100,"Medium",CallData[[#This Row],[Purchase Amount]]&lt;=150,"High",CallData[[#This Row],[Purchase Amount]]&gt;150,"Very High")</f>
        <v>Low</v>
      </c>
      <c r="I135" s="23">
        <v>4.8</v>
      </c>
      <c r="J135" s="23">
        <f>IF(MONTH('Call Data'!$F135)&lt;=6, YEAR('Call Data'!$F135), YEAR('Call Data'!$F135)+1)</f>
        <v>2023</v>
      </c>
      <c r="K135" s="23" t="str">
        <f>TEXT('Call Data'!$F135,"DDDD")</f>
        <v>Friday</v>
      </c>
      <c r="L135" s="23" t="s">
        <v>25</v>
      </c>
      <c r="M135" s="23">
        <f>ROUND('Call Data'!$I135,0)</f>
        <v>5</v>
      </c>
    </row>
    <row r="136" spans="1:13" ht="14.25" customHeight="1" x14ac:dyDescent="0.35">
      <c r="A136" s="23" t="s">
        <v>169</v>
      </c>
      <c r="B136" s="23" t="s">
        <v>21</v>
      </c>
      <c r="C136" s="23">
        <v>153</v>
      </c>
      <c r="D136" s="24" t="str" cm="1">
        <f t="array" ref="D136">_xlfn.IFS(CallData[[#This Row],[Duration]]&lt;=15,"Very short",CallData[[#This Row],[Duration]]&lt;=30,"Short",CallData[[#This Row],[Duration]]&lt;=60,"Medium",CallData[[#This Row],[Duration]]&gt;60,"Long")</f>
        <v>Long</v>
      </c>
      <c r="E136" s="24" t="s">
        <v>13</v>
      </c>
      <c r="F136" s="25">
        <v>44981</v>
      </c>
      <c r="G136" s="26">
        <v>200</v>
      </c>
      <c r="H136" s="26" t="str" cm="1">
        <f t="array" ref="H136">_xlfn.IFS(CallData[[#This Row],[Purchase Amount]]&lt;=50,"Low",CallData[[#This Row],[Purchase Amount]]&lt;=100,"Medium",CallData[[#This Row],[Purchase Amount]]&lt;=150,"High",CallData[[#This Row],[Purchase Amount]]&gt;150,"Very High")</f>
        <v>Very High</v>
      </c>
      <c r="I136" s="23">
        <v>2</v>
      </c>
      <c r="J136" s="23">
        <f>IF(MONTH('Call Data'!$F136)&lt;=6, YEAR('Call Data'!$F136), YEAR('Call Data'!$F136)+1)</f>
        <v>2023</v>
      </c>
      <c r="K136" s="23" t="str">
        <f>TEXT('Call Data'!$F136,"DDDD")</f>
        <v>Friday</v>
      </c>
      <c r="L136" s="23" t="s">
        <v>25</v>
      </c>
      <c r="M136" s="23">
        <f>ROUND('Call Data'!$I136,0)</f>
        <v>2</v>
      </c>
    </row>
    <row r="137" spans="1:13" ht="14.25" customHeight="1" x14ac:dyDescent="0.35">
      <c r="A137" s="23" t="s">
        <v>170</v>
      </c>
      <c r="B137" s="23" t="s">
        <v>55</v>
      </c>
      <c r="C137" s="23">
        <v>61</v>
      </c>
      <c r="D137" s="24" t="str" cm="1">
        <f t="array" ref="D137">_xlfn.IFS(CallData[[#This Row],[Duration]]&lt;=15,"Very short",CallData[[#This Row],[Duration]]&lt;=30,"Short",CallData[[#This Row],[Duration]]&lt;=60,"Medium",CallData[[#This Row],[Duration]]&gt;60,"Long")</f>
        <v>Long</v>
      </c>
      <c r="E137" s="24" t="s">
        <v>35</v>
      </c>
      <c r="F137" s="25">
        <v>44982</v>
      </c>
      <c r="G137" s="26">
        <v>150</v>
      </c>
      <c r="H137" s="26" t="str" cm="1">
        <f t="array" ref="H137">_xlfn.IFS(CallData[[#This Row],[Purchase Amount]]&lt;=50,"Low",CallData[[#This Row],[Purchase Amount]]&lt;=100,"Medium",CallData[[#This Row],[Purchase Amount]]&lt;=150,"High",CallData[[#This Row],[Purchase Amount]]&gt;150,"Very High")</f>
        <v>High</v>
      </c>
      <c r="I137" s="23">
        <v>4.5999999999999996</v>
      </c>
      <c r="J137" s="23">
        <f>IF(MONTH('Call Data'!$F137)&lt;=6, YEAR('Call Data'!$F137), YEAR('Call Data'!$F137)+1)</f>
        <v>2023</v>
      </c>
      <c r="K137" s="23" t="str">
        <f>TEXT('Call Data'!$F137,"DDDD")</f>
        <v>Saturday</v>
      </c>
      <c r="L137" s="23" t="s">
        <v>14</v>
      </c>
      <c r="M137" s="23">
        <f>ROUND('Call Data'!$I137,0)</f>
        <v>5</v>
      </c>
    </row>
    <row r="138" spans="1:13" ht="14.25" customHeight="1" x14ac:dyDescent="0.35">
      <c r="A138" s="23" t="s">
        <v>171</v>
      </c>
      <c r="B138" s="23" t="s">
        <v>46</v>
      </c>
      <c r="C138" s="23">
        <v>62</v>
      </c>
      <c r="D138" s="24" t="str" cm="1">
        <f t="array" ref="D138">_xlfn.IFS(CallData[[#This Row],[Duration]]&lt;=15,"Very short",CallData[[#This Row],[Duration]]&lt;=30,"Short",CallData[[#This Row],[Duration]]&lt;=60,"Medium",CallData[[#This Row],[Duration]]&gt;60,"Long")</f>
        <v>Long</v>
      </c>
      <c r="E138" s="24" t="s">
        <v>13</v>
      </c>
      <c r="F138" s="25">
        <v>44982</v>
      </c>
      <c r="G138" s="26">
        <v>21</v>
      </c>
      <c r="H138" s="26" t="str" cm="1">
        <f t="array" ref="H138">_xlfn.IFS(CallData[[#This Row],[Purchase Amount]]&lt;=50,"Low",CallData[[#This Row],[Purchase Amount]]&lt;=100,"Medium",CallData[[#This Row],[Purchase Amount]]&lt;=150,"High",CallData[[#This Row],[Purchase Amount]]&gt;150,"Very High")</f>
        <v>Low</v>
      </c>
      <c r="I138" s="23">
        <v>2.6</v>
      </c>
      <c r="J138" s="23">
        <f>IF(MONTH('Call Data'!$F138)&lt;=6, YEAR('Call Data'!$F138), YEAR('Call Data'!$F138)+1)</f>
        <v>2023</v>
      </c>
      <c r="K138" s="23" t="str">
        <f>TEXT('Call Data'!$F138,"DDDD")</f>
        <v>Saturday</v>
      </c>
      <c r="L138" s="23" t="s">
        <v>14</v>
      </c>
      <c r="M138" s="23">
        <f>ROUND('Call Data'!$I138,0)</f>
        <v>3</v>
      </c>
    </row>
    <row r="139" spans="1:13" ht="14.25" customHeight="1" x14ac:dyDescent="0.35">
      <c r="A139" s="23" t="s">
        <v>172</v>
      </c>
      <c r="B139" s="23" t="s">
        <v>68</v>
      </c>
      <c r="C139" s="23">
        <v>151</v>
      </c>
      <c r="D139" s="24" t="str" cm="1">
        <f t="array" ref="D139">_xlfn.IFS(CallData[[#This Row],[Duration]]&lt;=15,"Very short",CallData[[#This Row],[Duration]]&lt;=30,"Short",CallData[[#This Row],[Duration]]&lt;=60,"Medium",CallData[[#This Row],[Duration]]&gt;60,"Long")</f>
        <v>Long</v>
      </c>
      <c r="E139" s="24" t="s">
        <v>31</v>
      </c>
      <c r="F139" s="25">
        <v>44983</v>
      </c>
      <c r="G139" s="26">
        <v>46</v>
      </c>
      <c r="H139" s="26" t="str" cm="1">
        <f t="array" ref="H139">_xlfn.IFS(CallData[[#This Row],[Purchase Amount]]&lt;=50,"Low",CallData[[#This Row],[Purchase Amount]]&lt;=100,"Medium",CallData[[#This Row],[Purchase Amount]]&lt;=150,"High",CallData[[#This Row],[Purchase Amount]]&gt;150,"Very High")</f>
        <v>Low</v>
      </c>
      <c r="I139" s="23">
        <v>4.9000000000000004</v>
      </c>
      <c r="J139" s="23">
        <f>IF(MONTH('Call Data'!$F139)&lt;=6, YEAR('Call Data'!$F139), YEAR('Call Data'!$F139)+1)</f>
        <v>2023</v>
      </c>
      <c r="K139" s="23" t="str">
        <f>TEXT('Call Data'!$F139,"DDDD")</f>
        <v>Sunday</v>
      </c>
      <c r="L139" s="23" t="s">
        <v>25</v>
      </c>
      <c r="M139" s="23">
        <f>ROUND('Call Data'!$I139,0)</f>
        <v>5</v>
      </c>
    </row>
    <row r="140" spans="1:13" ht="14.25" customHeight="1" x14ac:dyDescent="0.35">
      <c r="A140" s="23" t="s">
        <v>173</v>
      </c>
      <c r="B140" s="23" t="s">
        <v>58</v>
      </c>
      <c r="C140" s="23">
        <v>102</v>
      </c>
      <c r="D140" s="24" t="str" cm="1">
        <f t="array" ref="D140">_xlfn.IFS(CallData[[#This Row],[Duration]]&lt;=15,"Very short",CallData[[#This Row],[Duration]]&lt;=30,"Short",CallData[[#This Row],[Duration]]&lt;=60,"Medium",CallData[[#This Row],[Duration]]&gt;60,"Long")</f>
        <v>Long</v>
      </c>
      <c r="E140" s="24" t="s">
        <v>24</v>
      </c>
      <c r="F140" s="25">
        <v>44983</v>
      </c>
      <c r="G140" s="26">
        <v>165</v>
      </c>
      <c r="H140" s="26" t="str" cm="1">
        <f t="array" ref="H140">_xlfn.IFS(CallData[[#This Row],[Purchase Amount]]&lt;=50,"Low",CallData[[#This Row],[Purchase Amount]]&lt;=100,"Medium",CallData[[#This Row],[Purchase Amount]]&lt;=150,"High",CallData[[#This Row],[Purchase Amount]]&gt;150,"Very High")</f>
        <v>Very High</v>
      </c>
      <c r="I140" s="23">
        <v>2.7</v>
      </c>
      <c r="J140" s="23">
        <f>IF(MONTH('Call Data'!$F140)&lt;=6, YEAR('Call Data'!$F140), YEAR('Call Data'!$F140)+1)</f>
        <v>2023</v>
      </c>
      <c r="K140" s="23" t="str">
        <f>TEXT('Call Data'!$F140,"DDDD")</f>
        <v>Sunday</v>
      </c>
      <c r="L140" s="23" t="s">
        <v>14</v>
      </c>
      <c r="M140" s="23">
        <f>ROUND('Call Data'!$I140,0)</f>
        <v>3</v>
      </c>
    </row>
    <row r="141" spans="1:13" ht="14.25" customHeight="1" x14ac:dyDescent="0.35">
      <c r="A141" s="23" t="s">
        <v>174</v>
      </c>
      <c r="B141" s="23" t="s">
        <v>50</v>
      </c>
      <c r="C141" s="23">
        <v>64</v>
      </c>
      <c r="D141" s="24" t="str" cm="1">
        <f t="array" ref="D141">_xlfn.IFS(CallData[[#This Row],[Duration]]&lt;=15,"Very short",CallData[[#This Row],[Duration]]&lt;=30,"Short",CallData[[#This Row],[Duration]]&lt;=60,"Medium",CallData[[#This Row],[Duration]]&gt;60,"Long")</f>
        <v>Long</v>
      </c>
      <c r="E141" s="24" t="s">
        <v>13</v>
      </c>
      <c r="F141" s="25">
        <v>44983</v>
      </c>
      <c r="G141" s="26">
        <v>84</v>
      </c>
      <c r="H141" s="26" t="str" cm="1">
        <f t="array" ref="H141">_xlfn.IFS(CallData[[#This Row],[Purchase Amount]]&lt;=50,"Low",CallData[[#This Row],[Purchase Amount]]&lt;=100,"Medium",CallData[[#This Row],[Purchase Amount]]&lt;=150,"High",CallData[[#This Row],[Purchase Amount]]&gt;150,"Very High")</f>
        <v>Medium</v>
      </c>
      <c r="I141" s="23">
        <v>4.0999999999999996</v>
      </c>
      <c r="J141" s="23">
        <f>IF(MONTH('Call Data'!$F141)&lt;=6, YEAR('Call Data'!$F141), YEAR('Call Data'!$F141)+1)</f>
        <v>2023</v>
      </c>
      <c r="K141" s="23" t="str">
        <f>TEXT('Call Data'!$F141,"DDDD")</f>
        <v>Sunday</v>
      </c>
      <c r="L141" s="23" t="s">
        <v>14</v>
      </c>
      <c r="M141" s="23">
        <f>ROUND('Call Data'!$I141,0)</f>
        <v>4</v>
      </c>
    </row>
    <row r="142" spans="1:13" ht="14.25" customHeight="1" x14ac:dyDescent="0.35">
      <c r="A142" s="23" t="s">
        <v>175</v>
      </c>
      <c r="B142" s="23" t="s">
        <v>16</v>
      </c>
      <c r="C142" s="23">
        <v>6</v>
      </c>
      <c r="D142" s="24" t="str" cm="1">
        <f t="array" ref="D142">_xlfn.IFS(CallData[[#This Row],[Duration]]&lt;=15,"Very short",CallData[[#This Row],[Duration]]&lt;=30,"Short",CallData[[#This Row],[Duration]]&lt;=60,"Medium",CallData[[#This Row],[Duration]]&gt;60,"Long")</f>
        <v>Very short</v>
      </c>
      <c r="E142" s="24" t="s">
        <v>24</v>
      </c>
      <c r="F142" s="25">
        <v>44984</v>
      </c>
      <c r="G142" s="26">
        <v>102</v>
      </c>
      <c r="H142" s="26" t="str" cm="1">
        <f t="array" ref="H142">_xlfn.IFS(CallData[[#This Row],[Purchase Amount]]&lt;=50,"Low",CallData[[#This Row],[Purchase Amount]]&lt;=100,"Medium",CallData[[#This Row],[Purchase Amount]]&lt;=150,"High",CallData[[#This Row],[Purchase Amount]]&gt;150,"Very High")</f>
        <v>High</v>
      </c>
      <c r="I142" s="23">
        <v>4.4000000000000004</v>
      </c>
      <c r="J142" s="23">
        <f>IF(MONTH('Call Data'!$F142)&lt;=6, YEAR('Call Data'!$F142), YEAR('Call Data'!$F142)+1)</f>
        <v>2023</v>
      </c>
      <c r="K142" s="23" t="str">
        <f>TEXT('Call Data'!$F142,"DDDD")</f>
        <v>Monday</v>
      </c>
      <c r="L142" s="23" t="s">
        <v>176</v>
      </c>
      <c r="M142" s="23">
        <f>ROUND('Call Data'!$I142,0)</f>
        <v>4</v>
      </c>
    </row>
    <row r="143" spans="1:13" ht="14.25" customHeight="1" x14ac:dyDescent="0.35">
      <c r="A143" s="23" t="s">
        <v>177</v>
      </c>
      <c r="B143" s="23" t="s">
        <v>50</v>
      </c>
      <c r="C143" s="23">
        <v>129</v>
      </c>
      <c r="D143" s="24" t="str" cm="1">
        <f t="array" ref="D143">_xlfn.IFS(CallData[[#This Row],[Duration]]&lt;=15,"Very short",CallData[[#This Row],[Duration]]&lt;=30,"Short",CallData[[#This Row],[Duration]]&lt;=60,"Medium",CallData[[#This Row],[Duration]]&gt;60,"Long")</f>
        <v>Long</v>
      </c>
      <c r="E143" s="24" t="s">
        <v>13</v>
      </c>
      <c r="F143" s="25">
        <v>44984</v>
      </c>
      <c r="G143" s="26">
        <v>180</v>
      </c>
      <c r="H143" s="26" t="str" cm="1">
        <f t="array" ref="H143">_xlfn.IFS(CallData[[#This Row],[Purchase Amount]]&lt;=50,"Low",CallData[[#This Row],[Purchase Amount]]&lt;=100,"Medium",CallData[[#This Row],[Purchase Amount]]&lt;=150,"High",CallData[[#This Row],[Purchase Amount]]&gt;150,"Very High")</f>
        <v>Very High</v>
      </c>
      <c r="I143" s="23">
        <v>4.8</v>
      </c>
      <c r="J143" s="23">
        <f>IF(MONTH('Call Data'!$F143)&lt;=6, YEAR('Call Data'!$F143), YEAR('Call Data'!$F143)+1)</f>
        <v>2023</v>
      </c>
      <c r="K143" s="23" t="str">
        <f>TEXT('Call Data'!$F143,"DDDD")</f>
        <v>Monday</v>
      </c>
      <c r="L143" s="23" t="s">
        <v>25</v>
      </c>
      <c r="M143" s="23">
        <f>ROUND('Call Data'!$I143,0)</f>
        <v>5</v>
      </c>
    </row>
    <row r="144" spans="1:13" ht="14.25" customHeight="1" x14ac:dyDescent="0.35">
      <c r="A144" s="23" t="s">
        <v>178</v>
      </c>
      <c r="B144" s="23" t="s">
        <v>46</v>
      </c>
      <c r="C144" s="23">
        <v>42</v>
      </c>
      <c r="D144" s="24" t="str" cm="1">
        <f t="array" ref="D144">_xlfn.IFS(CallData[[#This Row],[Duration]]&lt;=15,"Very short",CallData[[#This Row],[Duration]]&lt;=30,"Short",CallData[[#This Row],[Duration]]&lt;=60,"Medium",CallData[[#This Row],[Duration]]&gt;60,"Long")</f>
        <v>Medium</v>
      </c>
      <c r="E144" s="24" t="s">
        <v>31</v>
      </c>
      <c r="F144" s="25">
        <v>44985</v>
      </c>
      <c r="G144" s="26">
        <v>111</v>
      </c>
      <c r="H144" s="26" t="str" cm="1">
        <f t="array" ref="H144">_xlfn.IFS(CallData[[#This Row],[Purchase Amount]]&lt;=50,"Low",CallData[[#This Row],[Purchase Amount]]&lt;=100,"Medium",CallData[[#This Row],[Purchase Amount]]&lt;=150,"High",CallData[[#This Row],[Purchase Amount]]&gt;150,"Very High")</f>
        <v>High</v>
      </c>
      <c r="I144" s="23">
        <v>3</v>
      </c>
      <c r="J144" s="23">
        <f>IF(MONTH('Call Data'!$F144)&lt;=6, YEAR('Call Data'!$F144), YEAR('Call Data'!$F144)+1)</f>
        <v>2023</v>
      </c>
      <c r="K144" s="23" t="str">
        <f>TEXT('Call Data'!$F144,"DDDD")</f>
        <v>Tuesday</v>
      </c>
      <c r="L144" s="23" t="s">
        <v>27</v>
      </c>
      <c r="M144" s="23">
        <f>ROUND('Call Data'!$I144,0)</f>
        <v>3</v>
      </c>
    </row>
    <row r="145" spans="1:13" ht="14.25" customHeight="1" x14ac:dyDescent="0.35">
      <c r="A145" s="23" t="s">
        <v>179</v>
      </c>
      <c r="B145" s="23" t="s">
        <v>46</v>
      </c>
      <c r="C145" s="23">
        <v>71</v>
      </c>
      <c r="D145" s="24" t="str" cm="1">
        <f t="array" ref="D145">_xlfn.IFS(CallData[[#This Row],[Duration]]&lt;=15,"Very short",CallData[[#This Row],[Duration]]&lt;=30,"Short",CallData[[#This Row],[Duration]]&lt;=60,"Medium",CallData[[#This Row],[Duration]]&gt;60,"Long")</f>
        <v>Long</v>
      </c>
      <c r="E145" s="24" t="s">
        <v>35</v>
      </c>
      <c r="F145" s="25">
        <v>44985</v>
      </c>
      <c r="G145" s="26">
        <v>104</v>
      </c>
      <c r="H145" s="26" t="str" cm="1">
        <f t="array" ref="H145">_xlfn.IFS(CallData[[#This Row],[Purchase Amount]]&lt;=50,"Low",CallData[[#This Row],[Purchase Amount]]&lt;=100,"Medium",CallData[[#This Row],[Purchase Amount]]&lt;=150,"High",CallData[[#This Row],[Purchase Amount]]&gt;150,"Very High")</f>
        <v>High</v>
      </c>
      <c r="I145" s="23">
        <v>3.1</v>
      </c>
      <c r="J145" s="23">
        <f>IF(MONTH('Call Data'!$F145)&lt;=6, YEAR('Call Data'!$F145), YEAR('Call Data'!$F145)+1)</f>
        <v>2023</v>
      </c>
      <c r="K145" s="23" t="str">
        <f>TEXT('Call Data'!$F145,"DDDD")</f>
        <v>Tuesday</v>
      </c>
      <c r="L145" s="23" t="s">
        <v>14</v>
      </c>
      <c r="M145" s="23">
        <f>ROUND('Call Data'!$I145,0)</f>
        <v>3</v>
      </c>
    </row>
    <row r="146" spans="1:13" ht="14.25" customHeight="1" x14ac:dyDescent="0.35">
      <c r="A146" s="23" t="s">
        <v>180</v>
      </c>
      <c r="B146" s="23" t="s">
        <v>18</v>
      </c>
      <c r="C146" s="23">
        <v>53</v>
      </c>
      <c r="D146" s="24" t="str" cm="1">
        <f t="array" ref="D146">_xlfn.IFS(CallData[[#This Row],[Duration]]&lt;=15,"Very short",CallData[[#This Row],[Duration]]&lt;=30,"Short",CallData[[#This Row],[Duration]]&lt;=60,"Medium",CallData[[#This Row],[Duration]]&gt;60,"Long")</f>
        <v>Medium</v>
      </c>
      <c r="E146" s="24" t="s">
        <v>24</v>
      </c>
      <c r="F146" s="25">
        <v>44985</v>
      </c>
      <c r="G146" s="26">
        <v>80</v>
      </c>
      <c r="H146" s="26" t="str" cm="1">
        <f t="array" ref="H146">_xlfn.IFS(CallData[[#This Row],[Purchase Amount]]&lt;=50,"Low",CallData[[#This Row],[Purchase Amount]]&lt;=100,"Medium",CallData[[#This Row],[Purchase Amount]]&lt;=150,"High",CallData[[#This Row],[Purchase Amount]]&gt;150,"Very High")</f>
        <v>Medium</v>
      </c>
      <c r="I146" s="23">
        <v>2.6</v>
      </c>
      <c r="J146" s="23">
        <f>IF(MONTH('Call Data'!$F146)&lt;=6, YEAR('Call Data'!$F146), YEAR('Call Data'!$F146)+1)</f>
        <v>2023</v>
      </c>
      <c r="K146" s="23" t="str">
        <f>TEXT('Call Data'!$F146,"DDDD")</f>
        <v>Tuesday</v>
      </c>
      <c r="L146" s="23" t="s">
        <v>27</v>
      </c>
      <c r="M146" s="23">
        <f>ROUND('Call Data'!$I146,0)</f>
        <v>3</v>
      </c>
    </row>
    <row r="147" spans="1:13" ht="14.25" customHeight="1" x14ac:dyDescent="0.35">
      <c r="A147" s="23" t="s">
        <v>181</v>
      </c>
      <c r="B147" s="23" t="s">
        <v>23</v>
      </c>
      <c r="C147" s="23">
        <v>155</v>
      </c>
      <c r="D147" s="24" t="str" cm="1">
        <f t="array" ref="D147">_xlfn.IFS(CallData[[#This Row],[Duration]]&lt;=15,"Very short",CallData[[#This Row],[Duration]]&lt;=30,"Short",CallData[[#This Row],[Duration]]&lt;=60,"Medium",CallData[[#This Row],[Duration]]&gt;60,"Long")</f>
        <v>Long</v>
      </c>
      <c r="E147" s="24" t="s">
        <v>35</v>
      </c>
      <c r="F147" s="25">
        <v>44986</v>
      </c>
      <c r="G147" s="26">
        <v>132</v>
      </c>
      <c r="H147" s="26" t="str" cm="1">
        <f t="array" ref="H147">_xlfn.IFS(CallData[[#This Row],[Purchase Amount]]&lt;=50,"Low",CallData[[#This Row],[Purchase Amount]]&lt;=100,"Medium",CallData[[#This Row],[Purchase Amount]]&lt;=150,"High",CallData[[#This Row],[Purchase Amount]]&gt;150,"Very High")</f>
        <v>High</v>
      </c>
      <c r="I147" s="23">
        <v>4.5999999999999996</v>
      </c>
      <c r="J147" s="23">
        <f>IF(MONTH('Call Data'!$F147)&lt;=6, YEAR('Call Data'!$F147), YEAR('Call Data'!$F147)+1)</f>
        <v>2023</v>
      </c>
      <c r="K147" s="23" t="str">
        <f>TEXT('Call Data'!$F147,"DDDD")</f>
        <v>Wednesday</v>
      </c>
      <c r="L147" s="23" t="s">
        <v>25</v>
      </c>
      <c r="M147" s="23">
        <f>ROUND('Call Data'!$I147,0)</f>
        <v>5</v>
      </c>
    </row>
    <row r="148" spans="1:13" ht="14.25" customHeight="1" x14ac:dyDescent="0.35">
      <c r="A148" s="23" t="s">
        <v>182</v>
      </c>
      <c r="B148" s="23" t="s">
        <v>23</v>
      </c>
      <c r="C148" s="23">
        <v>90</v>
      </c>
      <c r="D148" s="24" t="str" cm="1">
        <f t="array" ref="D148">_xlfn.IFS(CallData[[#This Row],[Duration]]&lt;=15,"Very short",CallData[[#This Row],[Duration]]&lt;=30,"Short",CallData[[#This Row],[Duration]]&lt;=60,"Medium",CallData[[#This Row],[Duration]]&gt;60,"Long")</f>
        <v>Long</v>
      </c>
      <c r="E148" s="24" t="s">
        <v>31</v>
      </c>
      <c r="F148" s="25">
        <v>44986</v>
      </c>
      <c r="G148" s="26">
        <v>170</v>
      </c>
      <c r="H148" s="26" t="str" cm="1">
        <f t="array" ref="H148">_xlfn.IFS(CallData[[#This Row],[Purchase Amount]]&lt;=50,"Low",CallData[[#This Row],[Purchase Amount]]&lt;=100,"Medium",CallData[[#This Row],[Purchase Amount]]&lt;=150,"High",CallData[[#This Row],[Purchase Amount]]&gt;150,"Very High")</f>
        <v>Very High</v>
      </c>
      <c r="I148" s="23">
        <v>3.7</v>
      </c>
      <c r="J148" s="23">
        <f>IF(MONTH('Call Data'!$F148)&lt;=6, YEAR('Call Data'!$F148), YEAR('Call Data'!$F148)+1)</f>
        <v>2023</v>
      </c>
      <c r="K148" s="23" t="str">
        <f>TEXT('Call Data'!$F148,"DDDD")</f>
        <v>Wednesday</v>
      </c>
      <c r="L148" s="23" t="s">
        <v>14</v>
      </c>
      <c r="M148" s="23">
        <f>ROUND('Call Data'!$I148,0)</f>
        <v>4</v>
      </c>
    </row>
    <row r="149" spans="1:13" ht="14.25" customHeight="1" x14ac:dyDescent="0.35">
      <c r="A149" s="23" t="s">
        <v>183</v>
      </c>
      <c r="B149" s="23" t="s">
        <v>50</v>
      </c>
      <c r="C149" s="23">
        <v>166</v>
      </c>
      <c r="D149" s="24" t="str" cm="1">
        <f t="array" ref="D149">_xlfn.IFS(CallData[[#This Row],[Duration]]&lt;=15,"Very short",CallData[[#This Row],[Duration]]&lt;=30,"Short",CallData[[#This Row],[Duration]]&lt;=60,"Medium",CallData[[#This Row],[Duration]]&gt;60,"Long")</f>
        <v>Long</v>
      </c>
      <c r="E149" s="24" t="s">
        <v>19</v>
      </c>
      <c r="F149" s="25">
        <v>44986</v>
      </c>
      <c r="G149" s="26">
        <v>36</v>
      </c>
      <c r="H149" s="26" t="str" cm="1">
        <f t="array" ref="H149">_xlfn.IFS(CallData[[#This Row],[Purchase Amount]]&lt;=50,"Low",CallData[[#This Row],[Purchase Amount]]&lt;=100,"Medium",CallData[[#This Row],[Purchase Amount]]&lt;=150,"High",CallData[[#This Row],[Purchase Amount]]&gt;150,"Very High")</f>
        <v>Low</v>
      </c>
      <c r="I149" s="23">
        <v>3.8</v>
      </c>
      <c r="J149" s="23">
        <f>IF(MONTH('Call Data'!$F149)&lt;=6, YEAR('Call Data'!$F149), YEAR('Call Data'!$F149)+1)</f>
        <v>2023</v>
      </c>
      <c r="K149" s="23" t="str">
        <f>TEXT('Call Data'!$F149,"DDDD")</f>
        <v>Wednesday</v>
      </c>
      <c r="L149" s="23" t="s">
        <v>25</v>
      </c>
      <c r="M149" s="23">
        <f>ROUND('Call Data'!$I149,0)</f>
        <v>4</v>
      </c>
    </row>
    <row r="150" spans="1:13" ht="14.25" customHeight="1" x14ac:dyDescent="0.35">
      <c r="A150" s="23" t="s">
        <v>184</v>
      </c>
      <c r="B150" s="23" t="s">
        <v>40</v>
      </c>
      <c r="C150" s="23">
        <v>89</v>
      </c>
      <c r="D150" s="24" t="str" cm="1">
        <f t="array" ref="D150">_xlfn.IFS(CallData[[#This Row],[Duration]]&lt;=15,"Very short",CallData[[#This Row],[Duration]]&lt;=30,"Short",CallData[[#This Row],[Duration]]&lt;=60,"Medium",CallData[[#This Row],[Duration]]&gt;60,"Long")</f>
        <v>Long</v>
      </c>
      <c r="E150" s="24" t="s">
        <v>35</v>
      </c>
      <c r="F150" s="25">
        <v>44986</v>
      </c>
      <c r="G150" s="26">
        <v>126</v>
      </c>
      <c r="H150" s="26" t="str" cm="1">
        <f t="array" ref="H150">_xlfn.IFS(CallData[[#This Row],[Purchase Amount]]&lt;=50,"Low",CallData[[#This Row],[Purchase Amount]]&lt;=100,"Medium",CallData[[#This Row],[Purchase Amount]]&lt;=150,"High",CallData[[#This Row],[Purchase Amount]]&gt;150,"Very High")</f>
        <v>High</v>
      </c>
      <c r="I150" s="23">
        <v>3.6</v>
      </c>
      <c r="J150" s="23">
        <f>IF(MONTH('Call Data'!$F150)&lt;=6, YEAR('Call Data'!$F150), YEAR('Call Data'!$F150)+1)</f>
        <v>2023</v>
      </c>
      <c r="K150" s="23" t="str">
        <f>TEXT('Call Data'!$F150,"DDDD")</f>
        <v>Wednesday</v>
      </c>
      <c r="L150" s="23" t="s">
        <v>14</v>
      </c>
      <c r="M150" s="23">
        <f>ROUND('Call Data'!$I150,0)</f>
        <v>4</v>
      </c>
    </row>
    <row r="151" spans="1:13" ht="14.25" customHeight="1" x14ac:dyDescent="0.35">
      <c r="A151" s="23" t="s">
        <v>185</v>
      </c>
      <c r="B151" s="23" t="s">
        <v>55</v>
      </c>
      <c r="C151" s="23">
        <v>152</v>
      </c>
      <c r="D151" s="24" t="str" cm="1">
        <f t="array" ref="D151">_xlfn.IFS(CallData[[#This Row],[Duration]]&lt;=15,"Very short",CallData[[#This Row],[Duration]]&lt;=30,"Short",CallData[[#This Row],[Duration]]&lt;=60,"Medium",CallData[[#This Row],[Duration]]&gt;60,"Long")</f>
        <v>Long</v>
      </c>
      <c r="E151" s="24" t="s">
        <v>24</v>
      </c>
      <c r="F151" s="25">
        <v>44986</v>
      </c>
      <c r="G151" s="26">
        <v>215</v>
      </c>
      <c r="H151" s="26" t="str" cm="1">
        <f t="array" ref="H151">_xlfn.IFS(CallData[[#This Row],[Purchase Amount]]&lt;=50,"Low",CallData[[#This Row],[Purchase Amount]]&lt;=100,"Medium",CallData[[#This Row],[Purchase Amount]]&lt;=150,"High",CallData[[#This Row],[Purchase Amount]]&gt;150,"Very High")</f>
        <v>Very High</v>
      </c>
      <c r="I151" s="23">
        <v>4.4000000000000004</v>
      </c>
      <c r="J151" s="23">
        <f>IF(MONTH('Call Data'!$F151)&lt;=6, YEAR('Call Data'!$F151), YEAR('Call Data'!$F151)+1)</f>
        <v>2023</v>
      </c>
      <c r="K151" s="23" t="str">
        <f>TEXT('Call Data'!$F151,"DDDD")</f>
        <v>Wednesday</v>
      </c>
      <c r="L151" s="23" t="s">
        <v>25</v>
      </c>
      <c r="M151" s="23">
        <f>ROUND('Call Data'!$I151,0)</f>
        <v>4</v>
      </c>
    </row>
    <row r="152" spans="1:13" ht="14.25" customHeight="1" x14ac:dyDescent="0.35">
      <c r="A152" s="23" t="s">
        <v>186</v>
      </c>
      <c r="B152" s="23" t="s">
        <v>40</v>
      </c>
      <c r="C152" s="23">
        <v>137</v>
      </c>
      <c r="D152" s="24" t="str" cm="1">
        <f t="array" ref="D152">_xlfn.IFS(CallData[[#This Row],[Duration]]&lt;=15,"Very short",CallData[[#This Row],[Duration]]&lt;=30,"Short",CallData[[#This Row],[Duration]]&lt;=60,"Medium",CallData[[#This Row],[Duration]]&gt;60,"Long")</f>
        <v>Long</v>
      </c>
      <c r="E152" s="24" t="s">
        <v>31</v>
      </c>
      <c r="F152" s="25">
        <v>44986</v>
      </c>
      <c r="G152" s="26">
        <v>114</v>
      </c>
      <c r="H152" s="26" t="str" cm="1">
        <f t="array" ref="H152">_xlfn.IFS(CallData[[#This Row],[Purchase Amount]]&lt;=50,"Low",CallData[[#This Row],[Purchase Amount]]&lt;=100,"Medium",CallData[[#This Row],[Purchase Amount]]&lt;=150,"High",CallData[[#This Row],[Purchase Amount]]&gt;150,"Very High")</f>
        <v>High</v>
      </c>
      <c r="I152" s="23">
        <v>3.2</v>
      </c>
      <c r="J152" s="23">
        <f>IF(MONTH('Call Data'!$F152)&lt;=6, YEAR('Call Data'!$F152), YEAR('Call Data'!$F152)+1)</f>
        <v>2023</v>
      </c>
      <c r="K152" s="23" t="str">
        <f>TEXT('Call Data'!$F152,"DDDD")</f>
        <v>Wednesday</v>
      </c>
      <c r="L152" s="23" t="s">
        <v>25</v>
      </c>
      <c r="M152" s="23">
        <f>ROUND('Call Data'!$I152,0)</f>
        <v>3</v>
      </c>
    </row>
    <row r="153" spans="1:13" ht="14.25" customHeight="1" x14ac:dyDescent="0.35">
      <c r="A153" s="23" t="s">
        <v>187</v>
      </c>
      <c r="B153" s="23" t="s">
        <v>40</v>
      </c>
      <c r="C153" s="23">
        <v>43</v>
      </c>
      <c r="D153" s="24" t="str" cm="1">
        <f t="array" ref="D153">_xlfn.IFS(CallData[[#This Row],[Duration]]&lt;=15,"Very short",CallData[[#This Row],[Duration]]&lt;=30,"Short",CallData[[#This Row],[Duration]]&lt;=60,"Medium",CallData[[#This Row],[Duration]]&gt;60,"Long")</f>
        <v>Medium</v>
      </c>
      <c r="E153" s="24" t="s">
        <v>31</v>
      </c>
      <c r="F153" s="25">
        <v>44986</v>
      </c>
      <c r="G153" s="26">
        <v>99</v>
      </c>
      <c r="H153" s="26" t="str" cm="1">
        <f t="array" ref="H153">_xlfn.IFS(CallData[[#This Row],[Purchase Amount]]&lt;=50,"Low",CallData[[#This Row],[Purchase Amount]]&lt;=100,"Medium",CallData[[#This Row],[Purchase Amount]]&lt;=150,"High",CallData[[#This Row],[Purchase Amount]]&gt;150,"Very High")</f>
        <v>Medium</v>
      </c>
      <c r="I153" s="23">
        <v>4.7</v>
      </c>
      <c r="J153" s="23">
        <f>IF(MONTH('Call Data'!$F153)&lt;=6, YEAR('Call Data'!$F153), YEAR('Call Data'!$F153)+1)</f>
        <v>2023</v>
      </c>
      <c r="K153" s="23" t="str">
        <f>TEXT('Call Data'!$F153,"DDDD")</f>
        <v>Wednesday</v>
      </c>
      <c r="L153" s="23" t="s">
        <v>27</v>
      </c>
      <c r="M153" s="23">
        <f>ROUND('Call Data'!$I153,0)</f>
        <v>5</v>
      </c>
    </row>
    <row r="154" spans="1:13" ht="14.25" customHeight="1" x14ac:dyDescent="0.35">
      <c r="A154" s="23" t="s">
        <v>188</v>
      </c>
      <c r="B154" s="23" t="s">
        <v>34</v>
      </c>
      <c r="C154" s="23">
        <v>114</v>
      </c>
      <c r="D154" s="24" t="str" cm="1">
        <f t="array" ref="D154">_xlfn.IFS(CallData[[#This Row],[Duration]]&lt;=15,"Very short",CallData[[#This Row],[Duration]]&lt;=30,"Short",CallData[[#This Row],[Duration]]&lt;=60,"Medium",CallData[[#This Row],[Duration]]&gt;60,"Long")</f>
        <v>Long</v>
      </c>
      <c r="E154" s="24" t="s">
        <v>31</v>
      </c>
      <c r="F154" s="25">
        <v>44987</v>
      </c>
      <c r="G154" s="26">
        <v>23</v>
      </c>
      <c r="H154" s="26" t="str" cm="1">
        <f t="array" ref="H154">_xlfn.IFS(CallData[[#This Row],[Purchase Amount]]&lt;=50,"Low",CallData[[#This Row],[Purchase Amount]]&lt;=100,"Medium",CallData[[#This Row],[Purchase Amount]]&lt;=150,"High",CallData[[#This Row],[Purchase Amount]]&gt;150,"Very High")</f>
        <v>Low</v>
      </c>
      <c r="I154" s="23">
        <v>4.8</v>
      </c>
      <c r="J154" s="23">
        <f>IF(MONTH('Call Data'!$F154)&lt;=6, YEAR('Call Data'!$F154), YEAR('Call Data'!$F154)+1)</f>
        <v>2023</v>
      </c>
      <c r="K154" s="23" t="str">
        <f>TEXT('Call Data'!$F154,"DDDD")</f>
        <v>Thursday</v>
      </c>
      <c r="L154" s="23" t="s">
        <v>14</v>
      </c>
      <c r="M154" s="23">
        <f>ROUND('Call Data'!$I154,0)</f>
        <v>5</v>
      </c>
    </row>
    <row r="155" spans="1:13" ht="14.25" customHeight="1" x14ac:dyDescent="0.35">
      <c r="A155" s="23" t="s">
        <v>189</v>
      </c>
      <c r="B155" s="23" t="s">
        <v>21</v>
      </c>
      <c r="C155" s="23">
        <v>103</v>
      </c>
      <c r="D155" s="24" t="str" cm="1">
        <f t="array" ref="D155">_xlfn.IFS(CallData[[#This Row],[Duration]]&lt;=15,"Very short",CallData[[#This Row],[Duration]]&lt;=30,"Short",CallData[[#This Row],[Duration]]&lt;=60,"Medium",CallData[[#This Row],[Duration]]&gt;60,"Long")</f>
        <v>Long</v>
      </c>
      <c r="E155" s="24" t="s">
        <v>35</v>
      </c>
      <c r="F155" s="25">
        <v>44987</v>
      </c>
      <c r="G155" s="26">
        <v>75</v>
      </c>
      <c r="H155" s="26" t="str" cm="1">
        <f t="array" ref="H155">_xlfn.IFS(CallData[[#This Row],[Purchase Amount]]&lt;=50,"Low",CallData[[#This Row],[Purchase Amount]]&lt;=100,"Medium",CallData[[#This Row],[Purchase Amount]]&lt;=150,"High",CallData[[#This Row],[Purchase Amount]]&gt;150,"Very High")</f>
        <v>Medium</v>
      </c>
      <c r="I155" s="23">
        <v>2.7</v>
      </c>
      <c r="J155" s="23">
        <f>IF(MONTH('Call Data'!$F155)&lt;=6, YEAR('Call Data'!$F155), YEAR('Call Data'!$F155)+1)</f>
        <v>2023</v>
      </c>
      <c r="K155" s="23" t="str">
        <f>TEXT('Call Data'!$F155,"DDDD")</f>
        <v>Thursday</v>
      </c>
      <c r="L155" s="23" t="s">
        <v>14</v>
      </c>
      <c r="M155" s="23">
        <f>ROUND('Call Data'!$I155,0)</f>
        <v>3</v>
      </c>
    </row>
    <row r="156" spans="1:13" ht="14.25" customHeight="1" x14ac:dyDescent="0.35">
      <c r="A156" s="23" t="s">
        <v>190</v>
      </c>
      <c r="B156" s="23" t="s">
        <v>40</v>
      </c>
      <c r="C156" s="23">
        <v>98</v>
      </c>
      <c r="D156" s="24" t="str" cm="1">
        <f t="array" ref="D156">_xlfn.IFS(CallData[[#This Row],[Duration]]&lt;=15,"Very short",CallData[[#This Row],[Duration]]&lt;=30,"Short",CallData[[#This Row],[Duration]]&lt;=60,"Medium",CallData[[#This Row],[Duration]]&gt;60,"Long")</f>
        <v>Long</v>
      </c>
      <c r="E156" s="24" t="s">
        <v>24</v>
      </c>
      <c r="F156" s="25">
        <v>44987</v>
      </c>
      <c r="G156" s="26">
        <v>100</v>
      </c>
      <c r="H156" s="26" t="str" cm="1">
        <f t="array" ref="H156">_xlfn.IFS(CallData[[#This Row],[Purchase Amount]]&lt;=50,"Low",CallData[[#This Row],[Purchase Amount]]&lt;=100,"Medium",CallData[[#This Row],[Purchase Amount]]&lt;=150,"High",CallData[[#This Row],[Purchase Amount]]&gt;150,"Very High")</f>
        <v>Medium</v>
      </c>
      <c r="I156" s="23">
        <v>3.8</v>
      </c>
      <c r="J156" s="23">
        <f>IF(MONTH('Call Data'!$F156)&lt;=6, YEAR('Call Data'!$F156), YEAR('Call Data'!$F156)+1)</f>
        <v>2023</v>
      </c>
      <c r="K156" s="23" t="str">
        <f>TEXT('Call Data'!$F156,"DDDD")</f>
        <v>Thursday</v>
      </c>
      <c r="L156" s="23" t="s">
        <v>14</v>
      </c>
      <c r="M156" s="23">
        <f>ROUND('Call Data'!$I156,0)</f>
        <v>4</v>
      </c>
    </row>
    <row r="157" spans="1:13" ht="14.25" customHeight="1" x14ac:dyDescent="0.35">
      <c r="A157" s="23" t="s">
        <v>191</v>
      </c>
      <c r="B157" s="23" t="s">
        <v>50</v>
      </c>
      <c r="C157" s="23">
        <v>106</v>
      </c>
      <c r="D157" s="24" t="str" cm="1">
        <f t="array" ref="D157">_xlfn.IFS(CallData[[#This Row],[Duration]]&lt;=15,"Very short",CallData[[#This Row],[Duration]]&lt;=30,"Short",CallData[[#This Row],[Duration]]&lt;=60,"Medium",CallData[[#This Row],[Duration]]&gt;60,"Long")</f>
        <v>Long</v>
      </c>
      <c r="E157" s="24" t="s">
        <v>19</v>
      </c>
      <c r="F157" s="25">
        <v>44987</v>
      </c>
      <c r="G157" s="26">
        <v>108</v>
      </c>
      <c r="H157" s="26" t="str" cm="1">
        <f t="array" ref="H157">_xlfn.IFS(CallData[[#This Row],[Purchase Amount]]&lt;=50,"Low",CallData[[#This Row],[Purchase Amount]]&lt;=100,"Medium",CallData[[#This Row],[Purchase Amount]]&lt;=150,"High",CallData[[#This Row],[Purchase Amount]]&gt;150,"Very High")</f>
        <v>High</v>
      </c>
      <c r="I157" s="23">
        <v>4.3</v>
      </c>
      <c r="J157" s="23">
        <f>IF(MONTH('Call Data'!$F157)&lt;=6, YEAR('Call Data'!$F157), YEAR('Call Data'!$F157)+1)</f>
        <v>2023</v>
      </c>
      <c r="K157" s="23" t="str">
        <f>TEXT('Call Data'!$F157,"DDDD")</f>
        <v>Thursday</v>
      </c>
      <c r="L157" s="23" t="s">
        <v>14</v>
      </c>
      <c r="M157" s="23">
        <f>ROUND('Call Data'!$I157,0)</f>
        <v>4</v>
      </c>
    </row>
    <row r="158" spans="1:13" ht="14.25" customHeight="1" x14ac:dyDescent="0.35">
      <c r="A158" s="23" t="s">
        <v>192</v>
      </c>
      <c r="B158" s="23" t="s">
        <v>16</v>
      </c>
      <c r="C158" s="23">
        <v>96</v>
      </c>
      <c r="D158" s="24" t="str" cm="1">
        <f t="array" ref="D158">_xlfn.IFS(CallData[[#This Row],[Duration]]&lt;=15,"Very short",CallData[[#This Row],[Duration]]&lt;=30,"Short",CallData[[#This Row],[Duration]]&lt;=60,"Medium",CallData[[#This Row],[Duration]]&gt;60,"Long")</f>
        <v>Long</v>
      </c>
      <c r="E158" s="24" t="s">
        <v>19</v>
      </c>
      <c r="F158" s="25">
        <v>44987</v>
      </c>
      <c r="G158" s="26">
        <v>108</v>
      </c>
      <c r="H158" s="26" t="str" cm="1">
        <f t="array" ref="H158">_xlfn.IFS(CallData[[#This Row],[Purchase Amount]]&lt;=50,"Low",CallData[[#This Row],[Purchase Amount]]&lt;=100,"Medium",CallData[[#This Row],[Purchase Amount]]&lt;=150,"High",CallData[[#This Row],[Purchase Amount]]&gt;150,"Very High")</f>
        <v>High</v>
      </c>
      <c r="I158" s="23">
        <v>5</v>
      </c>
      <c r="J158" s="23">
        <f>IF(MONTH('Call Data'!$F158)&lt;=6, YEAR('Call Data'!$F158), YEAR('Call Data'!$F158)+1)</f>
        <v>2023</v>
      </c>
      <c r="K158" s="23" t="str">
        <f>TEXT('Call Data'!$F158,"DDDD")</f>
        <v>Thursday</v>
      </c>
      <c r="L158" s="23" t="s">
        <v>14</v>
      </c>
      <c r="M158" s="23">
        <f>ROUND('Call Data'!$I158,0)</f>
        <v>5</v>
      </c>
    </row>
    <row r="159" spans="1:13" ht="14.25" customHeight="1" x14ac:dyDescent="0.35">
      <c r="A159" s="23" t="s">
        <v>193</v>
      </c>
      <c r="B159" s="23" t="s">
        <v>21</v>
      </c>
      <c r="C159" s="23">
        <v>70</v>
      </c>
      <c r="D159" s="24" t="str" cm="1">
        <f t="array" ref="D159">_xlfn.IFS(CallData[[#This Row],[Duration]]&lt;=15,"Very short",CallData[[#This Row],[Duration]]&lt;=30,"Short",CallData[[#This Row],[Duration]]&lt;=60,"Medium",CallData[[#This Row],[Duration]]&gt;60,"Long")</f>
        <v>Long</v>
      </c>
      <c r="E159" s="24" t="s">
        <v>19</v>
      </c>
      <c r="F159" s="25">
        <v>44987</v>
      </c>
      <c r="G159" s="26">
        <v>28</v>
      </c>
      <c r="H159" s="26" t="str" cm="1">
        <f t="array" ref="H159">_xlfn.IFS(CallData[[#This Row],[Purchase Amount]]&lt;=50,"Low",CallData[[#This Row],[Purchase Amount]]&lt;=100,"Medium",CallData[[#This Row],[Purchase Amount]]&lt;=150,"High",CallData[[#This Row],[Purchase Amount]]&gt;150,"Very High")</f>
        <v>Low</v>
      </c>
      <c r="I159" s="23">
        <v>4.8</v>
      </c>
      <c r="J159" s="23">
        <f>IF(MONTH('Call Data'!$F159)&lt;=6, YEAR('Call Data'!$F159), YEAR('Call Data'!$F159)+1)</f>
        <v>2023</v>
      </c>
      <c r="K159" s="23" t="str">
        <f>TEXT('Call Data'!$F159,"DDDD")</f>
        <v>Thursday</v>
      </c>
      <c r="L159" s="23" t="s">
        <v>14</v>
      </c>
      <c r="M159" s="23">
        <f>ROUND('Call Data'!$I159,0)</f>
        <v>5</v>
      </c>
    </row>
    <row r="160" spans="1:13" ht="14.25" customHeight="1" x14ac:dyDescent="0.35">
      <c r="A160" s="23" t="s">
        <v>194</v>
      </c>
      <c r="B160" s="23" t="s">
        <v>46</v>
      </c>
      <c r="C160" s="23">
        <v>86</v>
      </c>
      <c r="D160" s="24" t="str" cm="1">
        <f t="array" ref="D160">_xlfn.IFS(CallData[[#This Row],[Duration]]&lt;=15,"Very short",CallData[[#This Row],[Duration]]&lt;=30,"Short",CallData[[#This Row],[Duration]]&lt;=60,"Medium",CallData[[#This Row],[Duration]]&gt;60,"Long")</f>
        <v>Long</v>
      </c>
      <c r="E160" s="24" t="s">
        <v>13</v>
      </c>
      <c r="F160" s="25">
        <v>44988</v>
      </c>
      <c r="G160" s="26">
        <v>70</v>
      </c>
      <c r="H160" s="26" t="str" cm="1">
        <f t="array" ref="H160">_xlfn.IFS(CallData[[#This Row],[Purchase Amount]]&lt;=50,"Low",CallData[[#This Row],[Purchase Amount]]&lt;=100,"Medium",CallData[[#This Row],[Purchase Amount]]&lt;=150,"High",CallData[[#This Row],[Purchase Amount]]&gt;150,"Very High")</f>
        <v>Medium</v>
      </c>
      <c r="I160" s="23">
        <v>4.9000000000000004</v>
      </c>
      <c r="J160" s="23">
        <f>IF(MONTH('Call Data'!$F160)&lt;=6, YEAR('Call Data'!$F160), YEAR('Call Data'!$F160)+1)</f>
        <v>2023</v>
      </c>
      <c r="K160" s="23" t="str">
        <f>TEXT('Call Data'!$F160,"DDDD")</f>
        <v>Friday</v>
      </c>
      <c r="L160" s="23" t="s">
        <v>14</v>
      </c>
      <c r="M160" s="23">
        <f>ROUND('Call Data'!$I160,0)</f>
        <v>5</v>
      </c>
    </row>
    <row r="161" spans="1:13" ht="14.25" customHeight="1" x14ac:dyDescent="0.35">
      <c r="A161" s="23" t="s">
        <v>195</v>
      </c>
      <c r="B161" s="23" t="s">
        <v>18</v>
      </c>
      <c r="C161" s="23">
        <v>64</v>
      </c>
      <c r="D161" s="24" t="str" cm="1">
        <f t="array" ref="D161">_xlfn.IFS(CallData[[#This Row],[Duration]]&lt;=15,"Very short",CallData[[#This Row],[Duration]]&lt;=30,"Short",CallData[[#This Row],[Duration]]&lt;=60,"Medium",CallData[[#This Row],[Duration]]&gt;60,"Long")</f>
        <v>Long</v>
      </c>
      <c r="E161" s="24" t="s">
        <v>13</v>
      </c>
      <c r="F161" s="25">
        <v>44988</v>
      </c>
      <c r="G161" s="26">
        <v>172</v>
      </c>
      <c r="H161" s="26" t="str" cm="1">
        <f t="array" ref="H161">_xlfn.IFS(CallData[[#This Row],[Purchase Amount]]&lt;=50,"Low",CallData[[#This Row],[Purchase Amount]]&lt;=100,"Medium",CallData[[#This Row],[Purchase Amount]]&lt;=150,"High",CallData[[#This Row],[Purchase Amount]]&gt;150,"Very High")</f>
        <v>Very High</v>
      </c>
      <c r="I161" s="23">
        <v>4.0999999999999996</v>
      </c>
      <c r="J161" s="23">
        <f>IF(MONTH('Call Data'!$F161)&lt;=6, YEAR('Call Data'!$F161), YEAR('Call Data'!$F161)+1)</f>
        <v>2023</v>
      </c>
      <c r="K161" s="23" t="str">
        <f>TEXT('Call Data'!$F161,"DDDD")</f>
        <v>Friday</v>
      </c>
      <c r="L161" s="23" t="s">
        <v>14</v>
      </c>
      <c r="M161" s="23">
        <f>ROUND('Call Data'!$I161,0)</f>
        <v>4</v>
      </c>
    </row>
    <row r="162" spans="1:13" ht="14.25" customHeight="1" x14ac:dyDescent="0.35">
      <c r="A162" s="23" t="s">
        <v>196</v>
      </c>
      <c r="B162" s="23" t="s">
        <v>16</v>
      </c>
      <c r="C162" s="23">
        <v>113</v>
      </c>
      <c r="D162" s="24" t="str" cm="1">
        <f t="array" ref="D162">_xlfn.IFS(CallData[[#This Row],[Duration]]&lt;=15,"Very short",CallData[[#This Row],[Duration]]&lt;=30,"Short",CallData[[#This Row],[Duration]]&lt;=60,"Medium",CallData[[#This Row],[Duration]]&gt;60,"Long")</f>
        <v>Long</v>
      </c>
      <c r="E162" s="24" t="s">
        <v>24</v>
      </c>
      <c r="F162" s="25">
        <v>44988</v>
      </c>
      <c r="G162" s="26">
        <v>123</v>
      </c>
      <c r="H162" s="26" t="str" cm="1">
        <f t="array" ref="H162">_xlfn.IFS(CallData[[#This Row],[Purchase Amount]]&lt;=50,"Low",CallData[[#This Row],[Purchase Amount]]&lt;=100,"Medium",CallData[[#This Row],[Purchase Amount]]&lt;=150,"High",CallData[[#This Row],[Purchase Amount]]&gt;150,"Very High")</f>
        <v>High</v>
      </c>
      <c r="I162" s="23">
        <v>4.4000000000000004</v>
      </c>
      <c r="J162" s="23">
        <f>IF(MONTH('Call Data'!$F162)&lt;=6, YEAR('Call Data'!$F162), YEAR('Call Data'!$F162)+1)</f>
        <v>2023</v>
      </c>
      <c r="K162" s="23" t="str">
        <f>TEXT('Call Data'!$F162,"DDDD")</f>
        <v>Friday</v>
      </c>
      <c r="L162" s="23" t="s">
        <v>14</v>
      </c>
      <c r="M162" s="23">
        <f>ROUND('Call Data'!$I162,0)</f>
        <v>4</v>
      </c>
    </row>
    <row r="163" spans="1:13" ht="14.25" customHeight="1" x14ac:dyDescent="0.35">
      <c r="A163" s="23" t="s">
        <v>197</v>
      </c>
      <c r="B163" s="23" t="s">
        <v>16</v>
      </c>
      <c r="C163" s="23">
        <v>21</v>
      </c>
      <c r="D163" s="24" t="str" cm="1">
        <f t="array" ref="D163">_xlfn.IFS(CallData[[#This Row],[Duration]]&lt;=15,"Very short",CallData[[#This Row],[Duration]]&lt;=30,"Short",CallData[[#This Row],[Duration]]&lt;=60,"Medium",CallData[[#This Row],[Duration]]&gt;60,"Long")</f>
        <v>Short</v>
      </c>
      <c r="E163" s="24" t="s">
        <v>19</v>
      </c>
      <c r="F163" s="25">
        <v>44988</v>
      </c>
      <c r="G163" s="26">
        <v>93</v>
      </c>
      <c r="H163" s="26" t="str" cm="1">
        <f t="array" ref="H163">_xlfn.IFS(CallData[[#This Row],[Purchase Amount]]&lt;=50,"Low",CallData[[#This Row],[Purchase Amount]]&lt;=100,"Medium",CallData[[#This Row],[Purchase Amount]]&lt;=150,"High",CallData[[#This Row],[Purchase Amount]]&gt;150,"Very High")</f>
        <v>Medium</v>
      </c>
      <c r="I163" s="23">
        <v>3.4</v>
      </c>
      <c r="J163" s="23">
        <f>IF(MONTH('Call Data'!$F163)&lt;=6, YEAR('Call Data'!$F163), YEAR('Call Data'!$F163)+1)</f>
        <v>2023</v>
      </c>
      <c r="K163" s="23" t="str">
        <f>TEXT('Call Data'!$F163,"DDDD")</f>
        <v>Friday</v>
      </c>
      <c r="L163" s="23" t="s">
        <v>47</v>
      </c>
      <c r="M163" s="23">
        <f>ROUND('Call Data'!$I163,0)</f>
        <v>3</v>
      </c>
    </row>
    <row r="164" spans="1:13" ht="14.25" customHeight="1" x14ac:dyDescent="0.35">
      <c r="A164" s="23" t="s">
        <v>198</v>
      </c>
      <c r="B164" s="23" t="s">
        <v>58</v>
      </c>
      <c r="C164" s="23">
        <v>107</v>
      </c>
      <c r="D164" s="24" t="str" cm="1">
        <f t="array" ref="D164">_xlfn.IFS(CallData[[#This Row],[Duration]]&lt;=15,"Very short",CallData[[#This Row],[Duration]]&lt;=30,"Short",CallData[[#This Row],[Duration]]&lt;=60,"Medium",CallData[[#This Row],[Duration]]&gt;60,"Long")</f>
        <v>Long</v>
      </c>
      <c r="E164" s="24" t="s">
        <v>13</v>
      </c>
      <c r="F164" s="25">
        <v>44988</v>
      </c>
      <c r="G164" s="26">
        <v>66</v>
      </c>
      <c r="H164" s="26" t="str" cm="1">
        <f t="array" ref="H164">_xlfn.IFS(CallData[[#This Row],[Purchase Amount]]&lt;=50,"Low",CallData[[#This Row],[Purchase Amount]]&lt;=100,"Medium",CallData[[#This Row],[Purchase Amount]]&lt;=150,"High",CallData[[#This Row],[Purchase Amount]]&gt;150,"Very High")</f>
        <v>Medium</v>
      </c>
      <c r="I164" s="23">
        <v>4</v>
      </c>
      <c r="J164" s="23">
        <f>IF(MONTH('Call Data'!$F164)&lt;=6, YEAR('Call Data'!$F164), YEAR('Call Data'!$F164)+1)</f>
        <v>2023</v>
      </c>
      <c r="K164" s="23" t="str">
        <f>TEXT('Call Data'!$F164,"DDDD")</f>
        <v>Friday</v>
      </c>
      <c r="L164" s="23" t="s">
        <v>14</v>
      </c>
      <c r="M164" s="23">
        <f>ROUND('Call Data'!$I164,0)</f>
        <v>4</v>
      </c>
    </row>
    <row r="165" spans="1:13" ht="14.25" customHeight="1" x14ac:dyDescent="0.35">
      <c r="A165" s="23" t="s">
        <v>199</v>
      </c>
      <c r="B165" s="23" t="s">
        <v>58</v>
      </c>
      <c r="C165" s="23">
        <v>131</v>
      </c>
      <c r="D165" s="24" t="str" cm="1">
        <f t="array" ref="D165">_xlfn.IFS(CallData[[#This Row],[Duration]]&lt;=15,"Very short",CallData[[#This Row],[Duration]]&lt;=30,"Short",CallData[[#This Row],[Duration]]&lt;=60,"Medium",CallData[[#This Row],[Duration]]&gt;60,"Long")</f>
        <v>Long</v>
      </c>
      <c r="E165" s="24" t="s">
        <v>19</v>
      </c>
      <c r="F165" s="25">
        <v>44988</v>
      </c>
      <c r="G165" s="26">
        <v>39</v>
      </c>
      <c r="H165" s="26" t="str" cm="1">
        <f t="array" ref="H165">_xlfn.IFS(CallData[[#This Row],[Purchase Amount]]&lt;=50,"Low",CallData[[#This Row],[Purchase Amount]]&lt;=100,"Medium",CallData[[#This Row],[Purchase Amount]]&lt;=150,"High",CallData[[#This Row],[Purchase Amount]]&gt;150,"Very High")</f>
        <v>Low</v>
      </c>
      <c r="I165" s="23">
        <v>2.4</v>
      </c>
      <c r="J165" s="23">
        <f>IF(MONTH('Call Data'!$F165)&lt;=6, YEAR('Call Data'!$F165), YEAR('Call Data'!$F165)+1)</f>
        <v>2023</v>
      </c>
      <c r="K165" s="23" t="str">
        <f>TEXT('Call Data'!$F165,"DDDD")</f>
        <v>Friday</v>
      </c>
      <c r="L165" s="23" t="s">
        <v>25</v>
      </c>
      <c r="M165" s="23">
        <f>ROUND('Call Data'!$I165,0)</f>
        <v>2</v>
      </c>
    </row>
    <row r="166" spans="1:13" ht="14.25" customHeight="1" x14ac:dyDescent="0.35">
      <c r="A166" s="23" t="s">
        <v>200</v>
      </c>
      <c r="B166" s="23" t="s">
        <v>12</v>
      </c>
      <c r="C166" s="23">
        <v>11</v>
      </c>
      <c r="D166" s="24" t="str" cm="1">
        <f t="array" ref="D166">_xlfn.IFS(CallData[[#This Row],[Duration]]&lt;=15,"Very short",CallData[[#This Row],[Duration]]&lt;=30,"Short",CallData[[#This Row],[Duration]]&lt;=60,"Medium",CallData[[#This Row],[Duration]]&gt;60,"Long")</f>
        <v>Very short</v>
      </c>
      <c r="E166" s="24" t="s">
        <v>35</v>
      </c>
      <c r="F166" s="25">
        <v>44988</v>
      </c>
      <c r="G166" s="26">
        <v>25</v>
      </c>
      <c r="H166" s="26" t="str" cm="1">
        <f t="array" ref="H166">_xlfn.IFS(CallData[[#This Row],[Purchase Amount]]&lt;=50,"Low",CallData[[#This Row],[Purchase Amount]]&lt;=100,"Medium",CallData[[#This Row],[Purchase Amount]]&lt;=150,"High",CallData[[#This Row],[Purchase Amount]]&gt;150,"Very High")</f>
        <v>Low</v>
      </c>
      <c r="I166" s="23">
        <v>2.1</v>
      </c>
      <c r="J166" s="23">
        <f>IF(MONTH('Call Data'!$F166)&lt;=6, YEAR('Call Data'!$F166), YEAR('Call Data'!$F166)+1)</f>
        <v>2023</v>
      </c>
      <c r="K166" s="23" t="str">
        <f>TEXT('Call Data'!$F166,"DDDD")</f>
        <v>Friday</v>
      </c>
      <c r="L166" s="23" t="s">
        <v>47</v>
      </c>
      <c r="M166" s="23">
        <f>ROUND('Call Data'!$I166,0)</f>
        <v>2</v>
      </c>
    </row>
    <row r="167" spans="1:13" ht="14.25" customHeight="1" x14ac:dyDescent="0.35">
      <c r="A167" s="23" t="s">
        <v>201</v>
      </c>
      <c r="B167" s="23" t="s">
        <v>68</v>
      </c>
      <c r="C167" s="23">
        <v>86</v>
      </c>
      <c r="D167" s="24" t="str" cm="1">
        <f t="array" ref="D167">_xlfn.IFS(CallData[[#This Row],[Duration]]&lt;=15,"Very short",CallData[[#This Row],[Duration]]&lt;=30,"Short",CallData[[#This Row],[Duration]]&lt;=60,"Medium",CallData[[#This Row],[Duration]]&gt;60,"Long")</f>
        <v>Long</v>
      </c>
      <c r="E167" s="24" t="s">
        <v>24</v>
      </c>
      <c r="F167" s="25">
        <v>44988</v>
      </c>
      <c r="G167" s="26">
        <v>68</v>
      </c>
      <c r="H167" s="26" t="str" cm="1">
        <f t="array" ref="H167">_xlfn.IFS(CallData[[#This Row],[Purchase Amount]]&lt;=50,"Low",CallData[[#This Row],[Purchase Amount]]&lt;=100,"Medium",CallData[[#This Row],[Purchase Amount]]&lt;=150,"High",CallData[[#This Row],[Purchase Amount]]&gt;150,"Very High")</f>
        <v>Medium</v>
      </c>
      <c r="I167" s="23">
        <v>3</v>
      </c>
      <c r="J167" s="23">
        <f>IF(MONTH('Call Data'!$F167)&lt;=6, YEAR('Call Data'!$F167), YEAR('Call Data'!$F167)+1)</f>
        <v>2023</v>
      </c>
      <c r="K167" s="23" t="str">
        <f>TEXT('Call Data'!$F167,"DDDD")</f>
        <v>Friday</v>
      </c>
      <c r="L167" s="23" t="s">
        <v>14</v>
      </c>
      <c r="M167" s="23">
        <f>ROUND('Call Data'!$I167,0)</f>
        <v>3</v>
      </c>
    </row>
    <row r="168" spans="1:13" ht="14.25" customHeight="1" x14ac:dyDescent="0.35">
      <c r="A168" s="23" t="s">
        <v>202</v>
      </c>
      <c r="B168" s="23" t="s">
        <v>18</v>
      </c>
      <c r="C168" s="23">
        <v>28</v>
      </c>
      <c r="D168" s="24" t="str" cm="1">
        <f t="array" ref="D168">_xlfn.IFS(CallData[[#This Row],[Duration]]&lt;=15,"Very short",CallData[[#This Row],[Duration]]&lt;=30,"Short",CallData[[#This Row],[Duration]]&lt;=60,"Medium",CallData[[#This Row],[Duration]]&gt;60,"Long")</f>
        <v>Short</v>
      </c>
      <c r="E168" s="24" t="s">
        <v>35</v>
      </c>
      <c r="F168" s="25">
        <v>44988</v>
      </c>
      <c r="G168" s="26">
        <v>84</v>
      </c>
      <c r="H168" s="26" t="str" cm="1">
        <f t="array" ref="H168">_xlfn.IFS(CallData[[#This Row],[Purchase Amount]]&lt;=50,"Low",CallData[[#This Row],[Purchase Amount]]&lt;=100,"Medium",CallData[[#This Row],[Purchase Amount]]&lt;=150,"High",CallData[[#This Row],[Purchase Amount]]&gt;150,"Very High")</f>
        <v>Medium</v>
      </c>
      <c r="I168" s="23">
        <v>3.2</v>
      </c>
      <c r="J168" s="23">
        <f>IF(MONTH('Call Data'!$F168)&lt;=6, YEAR('Call Data'!$F168), YEAR('Call Data'!$F168)+1)</f>
        <v>2023</v>
      </c>
      <c r="K168" s="23" t="str">
        <f>TEXT('Call Data'!$F168,"DDDD")</f>
        <v>Friday</v>
      </c>
      <c r="L168" s="23" t="s">
        <v>47</v>
      </c>
      <c r="M168" s="23">
        <f>ROUND('Call Data'!$I168,0)</f>
        <v>3</v>
      </c>
    </row>
    <row r="169" spans="1:13" ht="14.25" customHeight="1" x14ac:dyDescent="0.35">
      <c r="A169" s="23" t="s">
        <v>203</v>
      </c>
      <c r="B169" s="23" t="s">
        <v>23</v>
      </c>
      <c r="C169" s="23">
        <v>139</v>
      </c>
      <c r="D169" s="24" t="str" cm="1">
        <f t="array" ref="D169">_xlfn.IFS(CallData[[#This Row],[Duration]]&lt;=15,"Very short",CallData[[#This Row],[Duration]]&lt;=30,"Short",CallData[[#This Row],[Duration]]&lt;=60,"Medium",CallData[[#This Row],[Duration]]&gt;60,"Long")</f>
        <v>Long</v>
      </c>
      <c r="E169" s="24" t="s">
        <v>19</v>
      </c>
      <c r="F169" s="25">
        <v>44989</v>
      </c>
      <c r="G169" s="26">
        <v>88</v>
      </c>
      <c r="H169" s="26" t="str" cm="1">
        <f t="array" ref="H169">_xlfn.IFS(CallData[[#This Row],[Purchase Amount]]&lt;=50,"Low",CallData[[#This Row],[Purchase Amount]]&lt;=100,"Medium",CallData[[#This Row],[Purchase Amount]]&lt;=150,"High",CallData[[#This Row],[Purchase Amount]]&gt;150,"Very High")</f>
        <v>Medium</v>
      </c>
      <c r="I169" s="23">
        <v>3.4</v>
      </c>
      <c r="J169" s="23">
        <f>IF(MONTH('Call Data'!$F169)&lt;=6, YEAR('Call Data'!$F169), YEAR('Call Data'!$F169)+1)</f>
        <v>2023</v>
      </c>
      <c r="K169" s="23" t="str">
        <f>TEXT('Call Data'!$F169,"DDDD")</f>
        <v>Saturday</v>
      </c>
      <c r="L169" s="23" t="s">
        <v>25</v>
      </c>
      <c r="M169" s="23">
        <f>ROUND('Call Data'!$I169,0)</f>
        <v>3</v>
      </c>
    </row>
    <row r="170" spans="1:13" ht="14.25" customHeight="1" x14ac:dyDescent="0.35">
      <c r="A170" s="23" t="s">
        <v>204</v>
      </c>
      <c r="B170" s="23" t="s">
        <v>50</v>
      </c>
      <c r="C170" s="23">
        <v>82</v>
      </c>
      <c r="D170" s="24" t="str" cm="1">
        <f t="array" ref="D170">_xlfn.IFS(CallData[[#This Row],[Duration]]&lt;=15,"Very short",CallData[[#This Row],[Duration]]&lt;=30,"Short",CallData[[#This Row],[Duration]]&lt;=60,"Medium",CallData[[#This Row],[Duration]]&gt;60,"Long")</f>
        <v>Long</v>
      </c>
      <c r="E170" s="24" t="s">
        <v>24</v>
      </c>
      <c r="F170" s="25">
        <v>44989</v>
      </c>
      <c r="G170" s="26">
        <v>93</v>
      </c>
      <c r="H170" s="26" t="str" cm="1">
        <f t="array" ref="H170">_xlfn.IFS(CallData[[#This Row],[Purchase Amount]]&lt;=50,"Low",CallData[[#This Row],[Purchase Amount]]&lt;=100,"Medium",CallData[[#This Row],[Purchase Amount]]&lt;=150,"High",CallData[[#This Row],[Purchase Amount]]&gt;150,"Very High")</f>
        <v>Medium</v>
      </c>
      <c r="I170" s="23">
        <v>2.7</v>
      </c>
      <c r="J170" s="23">
        <f>IF(MONTH('Call Data'!$F170)&lt;=6, YEAR('Call Data'!$F170), YEAR('Call Data'!$F170)+1)</f>
        <v>2023</v>
      </c>
      <c r="K170" s="23" t="str">
        <f>TEXT('Call Data'!$F170,"DDDD")</f>
        <v>Saturday</v>
      </c>
      <c r="L170" s="23" t="s">
        <v>14</v>
      </c>
      <c r="M170" s="23">
        <f>ROUND('Call Data'!$I170,0)</f>
        <v>3</v>
      </c>
    </row>
    <row r="171" spans="1:13" ht="14.25" customHeight="1" x14ac:dyDescent="0.35">
      <c r="A171" s="23" t="s">
        <v>205</v>
      </c>
      <c r="B171" s="23" t="s">
        <v>16</v>
      </c>
      <c r="C171" s="23">
        <v>101</v>
      </c>
      <c r="D171" s="24" t="str" cm="1">
        <f t="array" ref="D171">_xlfn.IFS(CallData[[#This Row],[Duration]]&lt;=15,"Very short",CallData[[#This Row],[Duration]]&lt;=30,"Short",CallData[[#This Row],[Duration]]&lt;=60,"Medium",CallData[[#This Row],[Duration]]&gt;60,"Long")</f>
        <v>Long</v>
      </c>
      <c r="E171" s="24" t="s">
        <v>35</v>
      </c>
      <c r="F171" s="25">
        <v>44989</v>
      </c>
      <c r="G171" s="26">
        <v>128</v>
      </c>
      <c r="H171" s="26" t="str" cm="1">
        <f t="array" ref="H171">_xlfn.IFS(CallData[[#This Row],[Purchase Amount]]&lt;=50,"Low",CallData[[#This Row],[Purchase Amount]]&lt;=100,"Medium",CallData[[#This Row],[Purchase Amount]]&lt;=150,"High",CallData[[#This Row],[Purchase Amount]]&gt;150,"Very High")</f>
        <v>High</v>
      </c>
      <c r="I171" s="23">
        <v>5</v>
      </c>
      <c r="J171" s="23">
        <f>IF(MONTH('Call Data'!$F171)&lt;=6, YEAR('Call Data'!$F171), YEAR('Call Data'!$F171)+1)</f>
        <v>2023</v>
      </c>
      <c r="K171" s="23" t="str">
        <f>TEXT('Call Data'!$F171,"DDDD")</f>
        <v>Saturday</v>
      </c>
      <c r="L171" s="23" t="s">
        <v>14</v>
      </c>
      <c r="M171" s="23">
        <f>ROUND('Call Data'!$I171,0)</f>
        <v>5</v>
      </c>
    </row>
    <row r="172" spans="1:13" ht="14.25" customHeight="1" x14ac:dyDescent="0.35">
      <c r="A172" s="23" t="s">
        <v>206</v>
      </c>
      <c r="B172" s="23" t="s">
        <v>18</v>
      </c>
      <c r="C172" s="23">
        <v>75</v>
      </c>
      <c r="D172" s="24" t="str" cm="1">
        <f t="array" ref="D172">_xlfn.IFS(CallData[[#This Row],[Duration]]&lt;=15,"Very short",CallData[[#This Row],[Duration]]&lt;=30,"Short",CallData[[#This Row],[Duration]]&lt;=60,"Medium",CallData[[#This Row],[Duration]]&gt;60,"Long")</f>
        <v>Long</v>
      </c>
      <c r="E172" s="24" t="s">
        <v>31</v>
      </c>
      <c r="F172" s="25">
        <v>44989</v>
      </c>
      <c r="G172" s="26">
        <v>40</v>
      </c>
      <c r="H172" s="26" t="str" cm="1">
        <f t="array" ref="H172">_xlfn.IFS(CallData[[#This Row],[Purchase Amount]]&lt;=50,"Low",CallData[[#This Row],[Purchase Amount]]&lt;=100,"Medium",CallData[[#This Row],[Purchase Amount]]&lt;=150,"High",CallData[[#This Row],[Purchase Amount]]&gt;150,"Very High")</f>
        <v>Low</v>
      </c>
      <c r="I172" s="23">
        <v>3.4</v>
      </c>
      <c r="J172" s="23">
        <f>IF(MONTH('Call Data'!$F172)&lt;=6, YEAR('Call Data'!$F172), YEAR('Call Data'!$F172)+1)</f>
        <v>2023</v>
      </c>
      <c r="K172" s="23" t="str">
        <f>TEXT('Call Data'!$F172,"DDDD")</f>
        <v>Saturday</v>
      </c>
      <c r="L172" s="23" t="s">
        <v>14</v>
      </c>
      <c r="M172" s="23">
        <f>ROUND('Call Data'!$I172,0)</f>
        <v>3</v>
      </c>
    </row>
    <row r="173" spans="1:13" ht="14.25" customHeight="1" x14ac:dyDescent="0.35">
      <c r="A173" s="23" t="s">
        <v>207</v>
      </c>
      <c r="B173" s="23" t="s">
        <v>34</v>
      </c>
      <c r="C173" s="23">
        <v>40</v>
      </c>
      <c r="D173" s="24" t="str" cm="1">
        <f t="array" ref="D173">_xlfn.IFS(CallData[[#This Row],[Duration]]&lt;=15,"Very short",CallData[[#This Row],[Duration]]&lt;=30,"Short",CallData[[#This Row],[Duration]]&lt;=60,"Medium",CallData[[#This Row],[Duration]]&gt;60,"Long")</f>
        <v>Medium</v>
      </c>
      <c r="E173" s="24" t="s">
        <v>35</v>
      </c>
      <c r="F173" s="25">
        <v>44990</v>
      </c>
      <c r="G173" s="26">
        <v>92</v>
      </c>
      <c r="H173" s="26" t="str" cm="1">
        <f t="array" ref="H173">_xlfn.IFS(CallData[[#This Row],[Purchase Amount]]&lt;=50,"Low",CallData[[#This Row],[Purchase Amount]]&lt;=100,"Medium",CallData[[#This Row],[Purchase Amount]]&lt;=150,"High",CallData[[#This Row],[Purchase Amount]]&gt;150,"Very High")</f>
        <v>Medium</v>
      </c>
      <c r="I173" s="23">
        <v>4.7</v>
      </c>
      <c r="J173" s="23">
        <f>IF(MONTH('Call Data'!$F173)&lt;=6, YEAR('Call Data'!$F173), YEAR('Call Data'!$F173)+1)</f>
        <v>2023</v>
      </c>
      <c r="K173" s="23" t="str">
        <f>TEXT('Call Data'!$F173,"DDDD")</f>
        <v>Sunday</v>
      </c>
      <c r="L173" s="23" t="s">
        <v>27</v>
      </c>
      <c r="M173" s="23">
        <f>ROUND('Call Data'!$I173,0)</f>
        <v>5</v>
      </c>
    </row>
    <row r="174" spans="1:13" ht="14.25" customHeight="1" x14ac:dyDescent="0.35">
      <c r="A174" s="23" t="s">
        <v>208</v>
      </c>
      <c r="B174" s="23" t="s">
        <v>40</v>
      </c>
      <c r="C174" s="23">
        <v>86</v>
      </c>
      <c r="D174" s="24" t="str" cm="1">
        <f t="array" ref="D174">_xlfn.IFS(CallData[[#This Row],[Duration]]&lt;=15,"Very short",CallData[[#This Row],[Duration]]&lt;=30,"Short",CallData[[#This Row],[Duration]]&lt;=60,"Medium",CallData[[#This Row],[Duration]]&gt;60,"Long")</f>
        <v>Long</v>
      </c>
      <c r="E174" s="24" t="s">
        <v>19</v>
      </c>
      <c r="F174" s="25">
        <v>44990</v>
      </c>
      <c r="G174" s="26">
        <v>27</v>
      </c>
      <c r="H174" s="26" t="str" cm="1">
        <f t="array" ref="H174">_xlfn.IFS(CallData[[#This Row],[Purchase Amount]]&lt;=50,"Low",CallData[[#This Row],[Purchase Amount]]&lt;=100,"Medium",CallData[[#This Row],[Purchase Amount]]&lt;=150,"High",CallData[[#This Row],[Purchase Amount]]&gt;150,"Very High")</f>
        <v>Low</v>
      </c>
      <c r="I174" s="23">
        <v>4.5</v>
      </c>
      <c r="J174" s="23">
        <f>IF(MONTH('Call Data'!$F174)&lt;=6, YEAR('Call Data'!$F174), YEAR('Call Data'!$F174)+1)</f>
        <v>2023</v>
      </c>
      <c r="K174" s="23" t="str">
        <f>TEXT('Call Data'!$F174,"DDDD")</f>
        <v>Sunday</v>
      </c>
      <c r="L174" s="23" t="s">
        <v>14</v>
      </c>
      <c r="M174" s="23">
        <f>ROUND('Call Data'!$I174,0)</f>
        <v>5</v>
      </c>
    </row>
    <row r="175" spans="1:13" ht="14.25" customHeight="1" x14ac:dyDescent="0.35">
      <c r="A175" s="23" t="s">
        <v>209</v>
      </c>
      <c r="B175" s="23" t="s">
        <v>29</v>
      </c>
      <c r="C175" s="23">
        <v>131</v>
      </c>
      <c r="D175" s="24" t="str" cm="1">
        <f t="array" ref="D175">_xlfn.IFS(CallData[[#This Row],[Duration]]&lt;=15,"Very short",CallData[[#This Row],[Duration]]&lt;=30,"Short",CallData[[#This Row],[Duration]]&lt;=60,"Medium",CallData[[#This Row],[Duration]]&gt;60,"Long")</f>
        <v>Long</v>
      </c>
      <c r="E175" s="24" t="s">
        <v>13</v>
      </c>
      <c r="F175" s="25">
        <v>44990</v>
      </c>
      <c r="G175" s="26">
        <v>140</v>
      </c>
      <c r="H175" s="26" t="str" cm="1">
        <f t="array" ref="H175">_xlfn.IFS(CallData[[#This Row],[Purchase Amount]]&lt;=50,"Low",CallData[[#This Row],[Purchase Amount]]&lt;=100,"Medium",CallData[[#This Row],[Purchase Amount]]&lt;=150,"High",CallData[[#This Row],[Purchase Amount]]&gt;150,"Very High")</f>
        <v>High</v>
      </c>
      <c r="I175" s="23">
        <v>4.0999999999999996</v>
      </c>
      <c r="J175" s="23">
        <f>IF(MONTH('Call Data'!$F175)&lt;=6, YEAR('Call Data'!$F175), YEAR('Call Data'!$F175)+1)</f>
        <v>2023</v>
      </c>
      <c r="K175" s="23" t="str">
        <f>TEXT('Call Data'!$F175,"DDDD")</f>
        <v>Sunday</v>
      </c>
      <c r="L175" s="23" t="s">
        <v>25</v>
      </c>
      <c r="M175" s="23">
        <f>ROUND('Call Data'!$I175,0)</f>
        <v>4</v>
      </c>
    </row>
    <row r="176" spans="1:13" ht="14.25" customHeight="1" x14ac:dyDescent="0.35">
      <c r="A176" s="23" t="s">
        <v>210</v>
      </c>
      <c r="B176" s="23" t="s">
        <v>58</v>
      </c>
      <c r="C176" s="23">
        <v>67</v>
      </c>
      <c r="D176" s="24" t="str" cm="1">
        <f t="array" ref="D176">_xlfn.IFS(CallData[[#This Row],[Duration]]&lt;=15,"Very short",CallData[[#This Row],[Duration]]&lt;=30,"Short",CallData[[#This Row],[Duration]]&lt;=60,"Medium",CallData[[#This Row],[Duration]]&gt;60,"Long")</f>
        <v>Long</v>
      </c>
      <c r="E176" s="24" t="s">
        <v>24</v>
      </c>
      <c r="F176" s="25">
        <v>44990</v>
      </c>
      <c r="G176" s="26">
        <v>40</v>
      </c>
      <c r="H176" s="26" t="str" cm="1">
        <f t="array" ref="H176">_xlfn.IFS(CallData[[#This Row],[Purchase Amount]]&lt;=50,"Low",CallData[[#This Row],[Purchase Amount]]&lt;=100,"Medium",CallData[[#This Row],[Purchase Amount]]&lt;=150,"High",CallData[[#This Row],[Purchase Amount]]&gt;150,"Very High")</f>
        <v>Low</v>
      </c>
      <c r="I176" s="23">
        <v>5</v>
      </c>
      <c r="J176" s="23">
        <f>IF(MONTH('Call Data'!$F176)&lt;=6, YEAR('Call Data'!$F176), YEAR('Call Data'!$F176)+1)</f>
        <v>2023</v>
      </c>
      <c r="K176" s="23" t="str">
        <f>TEXT('Call Data'!$F176,"DDDD")</f>
        <v>Sunday</v>
      </c>
      <c r="L176" s="23" t="s">
        <v>14</v>
      </c>
      <c r="M176" s="23">
        <f>ROUND('Call Data'!$I176,0)</f>
        <v>5</v>
      </c>
    </row>
    <row r="177" spans="1:13" ht="14.25" customHeight="1" x14ac:dyDescent="0.35">
      <c r="A177" s="23" t="s">
        <v>211</v>
      </c>
      <c r="B177" s="23" t="s">
        <v>88</v>
      </c>
      <c r="C177" s="23">
        <v>71</v>
      </c>
      <c r="D177" s="24" t="str" cm="1">
        <f t="array" ref="D177">_xlfn.IFS(CallData[[#This Row],[Duration]]&lt;=15,"Very short",CallData[[#This Row],[Duration]]&lt;=30,"Short",CallData[[#This Row],[Duration]]&lt;=60,"Medium",CallData[[#This Row],[Duration]]&gt;60,"Long")</f>
        <v>Long</v>
      </c>
      <c r="E177" s="24" t="s">
        <v>35</v>
      </c>
      <c r="F177" s="25">
        <v>44990</v>
      </c>
      <c r="G177" s="26">
        <v>102</v>
      </c>
      <c r="H177" s="26" t="str" cm="1">
        <f t="array" ref="H177">_xlfn.IFS(CallData[[#This Row],[Purchase Amount]]&lt;=50,"Low",CallData[[#This Row],[Purchase Amount]]&lt;=100,"Medium",CallData[[#This Row],[Purchase Amount]]&lt;=150,"High",CallData[[#This Row],[Purchase Amount]]&gt;150,"Very High")</f>
        <v>High</v>
      </c>
      <c r="I177" s="23">
        <v>4.7</v>
      </c>
      <c r="J177" s="23">
        <f>IF(MONTH('Call Data'!$F177)&lt;=6, YEAR('Call Data'!$F177), YEAR('Call Data'!$F177)+1)</f>
        <v>2023</v>
      </c>
      <c r="K177" s="23" t="str">
        <f>TEXT('Call Data'!$F177,"DDDD")</f>
        <v>Sunday</v>
      </c>
      <c r="L177" s="23" t="s">
        <v>14</v>
      </c>
      <c r="M177" s="23">
        <f>ROUND('Call Data'!$I177,0)</f>
        <v>5</v>
      </c>
    </row>
    <row r="178" spans="1:13" ht="14.25" customHeight="1" x14ac:dyDescent="0.35">
      <c r="A178" s="23" t="s">
        <v>212</v>
      </c>
      <c r="B178" s="23" t="s">
        <v>29</v>
      </c>
      <c r="C178" s="23">
        <v>113</v>
      </c>
      <c r="D178" s="24" t="str" cm="1">
        <f t="array" ref="D178">_xlfn.IFS(CallData[[#This Row],[Duration]]&lt;=15,"Very short",CallData[[#This Row],[Duration]]&lt;=30,"Short",CallData[[#This Row],[Duration]]&lt;=60,"Medium",CallData[[#This Row],[Duration]]&gt;60,"Long")</f>
        <v>Long</v>
      </c>
      <c r="E178" s="24" t="s">
        <v>13</v>
      </c>
      <c r="F178" s="25">
        <v>44990</v>
      </c>
      <c r="G178" s="26">
        <v>42</v>
      </c>
      <c r="H178" s="26" t="str" cm="1">
        <f t="array" ref="H178">_xlfn.IFS(CallData[[#This Row],[Purchase Amount]]&lt;=50,"Low",CallData[[#This Row],[Purchase Amount]]&lt;=100,"Medium",CallData[[#This Row],[Purchase Amount]]&lt;=150,"High",CallData[[#This Row],[Purchase Amount]]&gt;150,"Very High")</f>
        <v>Low</v>
      </c>
      <c r="I178" s="23">
        <v>4.2</v>
      </c>
      <c r="J178" s="23">
        <f>IF(MONTH('Call Data'!$F178)&lt;=6, YEAR('Call Data'!$F178), YEAR('Call Data'!$F178)+1)</f>
        <v>2023</v>
      </c>
      <c r="K178" s="23" t="str">
        <f>TEXT('Call Data'!$F178,"DDDD")</f>
        <v>Sunday</v>
      </c>
      <c r="L178" s="23" t="s">
        <v>14</v>
      </c>
      <c r="M178" s="23">
        <f>ROUND('Call Data'!$I178,0)</f>
        <v>4</v>
      </c>
    </row>
    <row r="179" spans="1:13" ht="14.25" customHeight="1" x14ac:dyDescent="0.35">
      <c r="A179" s="23" t="s">
        <v>213</v>
      </c>
      <c r="B179" s="23" t="s">
        <v>50</v>
      </c>
      <c r="C179" s="23">
        <v>53</v>
      </c>
      <c r="D179" s="24" t="str" cm="1">
        <f t="array" ref="D179">_xlfn.IFS(CallData[[#This Row],[Duration]]&lt;=15,"Very short",CallData[[#This Row],[Duration]]&lt;=30,"Short",CallData[[#This Row],[Duration]]&lt;=60,"Medium",CallData[[#This Row],[Duration]]&gt;60,"Long")</f>
        <v>Medium</v>
      </c>
      <c r="E179" s="24" t="s">
        <v>19</v>
      </c>
      <c r="F179" s="25">
        <v>44991</v>
      </c>
      <c r="G179" s="26">
        <v>210</v>
      </c>
      <c r="H179" s="26" t="str" cm="1">
        <f t="array" ref="H179">_xlfn.IFS(CallData[[#This Row],[Purchase Amount]]&lt;=50,"Low",CallData[[#This Row],[Purchase Amount]]&lt;=100,"Medium",CallData[[#This Row],[Purchase Amount]]&lt;=150,"High",CallData[[#This Row],[Purchase Amount]]&gt;150,"Very High")</f>
        <v>Very High</v>
      </c>
      <c r="I179" s="23">
        <v>3.9</v>
      </c>
      <c r="J179" s="23">
        <f>IF(MONTH('Call Data'!$F179)&lt;=6, YEAR('Call Data'!$F179), YEAR('Call Data'!$F179)+1)</f>
        <v>2023</v>
      </c>
      <c r="K179" s="23" t="str">
        <f>TEXT('Call Data'!$F179,"DDDD")</f>
        <v>Monday</v>
      </c>
      <c r="L179" s="23" t="s">
        <v>27</v>
      </c>
      <c r="M179" s="23">
        <f>ROUND('Call Data'!$I179,0)</f>
        <v>4</v>
      </c>
    </row>
    <row r="180" spans="1:13" ht="14.25" customHeight="1" x14ac:dyDescent="0.35">
      <c r="A180" s="23" t="s">
        <v>214</v>
      </c>
      <c r="B180" s="23" t="s">
        <v>29</v>
      </c>
      <c r="C180" s="23">
        <v>153</v>
      </c>
      <c r="D180" s="24" t="str" cm="1">
        <f t="array" ref="D180">_xlfn.IFS(CallData[[#This Row],[Duration]]&lt;=15,"Very short",CallData[[#This Row],[Duration]]&lt;=30,"Short",CallData[[#This Row],[Duration]]&lt;=60,"Medium",CallData[[#This Row],[Duration]]&gt;60,"Long")</f>
        <v>Long</v>
      </c>
      <c r="E180" s="24" t="s">
        <v>24</v>
      </c>
      <c r="F180" s="25">
        <v>44991</v>
      </c>
      <c r="G180" s="26">
        <v>34</v>
      </c>
      <c r="H180" s="26" t="str" cm="1">
        <f t="array" ref="H180">_xlfn.IFS(CallData[[#This Row],[Purchase Amount]]&lt;=50,"Low",CallData[[#This Row],[Purchase Amount]]&lt;=100,"Medium",CallData[[#This Row],[Purchase Amount]]&lt;=150,"High",CallData[[#This Row],[Purchase Amount]]&gt;150,"Very High")</f>
        <v>Low</v>
      </c>
      <c r="I180" s="23">
        <v>3</v>
      </c>
      <c r="J180" s="23">
        <f>IF(MONTH('Call Data'!$F180)&lt;=6, YEAR('Call Data'!$F180), YEAR('Call Data'!$F180)+1)</f>
        <v>2023</v>
      </c>
      <c r="K180" s="23" t="str">
        <f>TEXT('Call Data'!$F180,"DDDD")</f>
        <v>Monday</v>
      </c>
      <c r="L180" s="23" t="s">
        <v>25</v>
      </c>
      <c r="M180" s="23">
        <f>ROUND('Call Data'!$I180,0)</f>
        <v>3</v>
      </c>
    </row>
    <row r="181" spans="1:13" ht="14.25" customHeight="1" x14ac:dyDescent="0.35">
      <c r="A181" s="23" t="s">
        <v>215</v>
      </c>
      <c r="B181" s="23" t="s">
        <v>58</v>
      </c>
      <c r="C181" s="23">
        <v>73</v>
      </c>
      <c r="D181" s="24" t="str" cm="1">
        <f t="array" ref="D181">_xlfn.IFS(CallData[[#This Row],[Duration]]&lt;=15,"Very short",CallData[[#This Row],[Duration]]&lt;=30,"Short",CallData[[#This Row],[Duration]]&lt;=60,"Medium",CallData[[#This Row],[Duration]]&gt;60,"Long")</f>
        <v>Long</v>
      </c>
      <c r="E181" s="24" t="s">
        <v>31</v>
      </c>
      <c r="F181" s="25">
        <v>44991</v>
      </c>
      <c r="G181" s="26">
        <v>215</v>
      </c>
      <c r="H181" s="26" t="str" cm="1">
        <f t="array" ref="H181">_xlfn.IFS(CallData[[#This Row],[Purchase Amount]]&lt;=50,"Low",CallData[[#This Row],[Purchase Amount]]&lt;=100,"Medium",CallData[[#This Row],[Purchase Amount]]&lt;=150,"High",CallData[[#This Row],[Purchase Amount]]&gt;150,"Very High")</f>
        <v>Very High</v>
      </c>
      <c r="I181" s="23">
        <v>3.6</v>
      </c>
      <c r="J181" s="23">
        <f>IF(MONTH('Call Data'!$F181)&lt;=6, YEAR('Call Data'!$F181), YEAR('Call Data'!$F181)+1)</f>
        <v>2023</v>
      </c>
      <c r="K181" s="23" t="str">
        <f>TEXT('Call Data'!$F181,"DDDD")</f>
        <v>Monday</v>
      </c>
      <c r="L181" s="23" t="s">
        <v>14</v>
      </c>
      <c r="M181" s="23">
        <f>ROUND('Call Data'!$I181,0)</f>
        <v>4</v>
      </c>
    </row>
    <row r="182" spans="1:13" ht="14.25" customHeight="1" x14ac:dyDescent="0.35">
      <c r="A182" s="23" t="s">
        <v>216</v>
      </c>
      <c r="B182" s="23" t="s">
        <v>46</v>
      </c>
      <c r="C182" s="23">
        <v>62</v>
      </c>
      <c r="D182" s="24" t="str" cm="1">
        <f t="array" ref="D182">_xlfn.IFS(CallData[[#This Row],[Duration]]&lt;=15,"Very short",CallData[[#This Row],[Duration]]&lt;=30,"Short",CallData[[#This Row],[Duration]]&lt;=60,"Medium",CallData[[#This Row],[Duration]]&gt;60,"Long")</f>
        <v>Long</v>
      </c>
      <c r="E182" s="24" t="s">
        <v>31</v>
      </c>
      <c r="F182" s="25">
        <v>44991</v>
      </c>
      <c r="G182" s="26">
        <v>32</v>
      </c>
      <c r="H182" s="26" t="str" cm="1">
        <f t="array" ref="H182">_xlfn.IFS(CallData[[#This Row],[Purchase Amount]]&lt;=50,"Low",CallData[[#This Row],[Purchase Amount]]&lt;=100,"Medium",CallData[[#This Row],[Purchase Amount]]&lt;=150,"High",CallData[[#This Row],[Purchase Amount]]&gt;150,"Very High")</f>
        <v>Low</v>
      </c>
      <c r="I182" s="23">
        <v>0.7</v>
      </c>
      <c r="J182" s="23">
        <f>IF(MONTH('Call Data'!$F182)&lt;=6, YEAR('Call Data'!$F182), YEAR('Call Data'!$F182)+1)</f>
        <v>2023</v>
      </c>
      <c r="K182" s="23" t="str">
        <f>TEXT('Call Data'!$F182,"DDDD")</f>
        <v>Monday</v>
      </c>
      <c r="L182" s="23" t="s">
        <v>14</v>
      </c>
      <c r="M182" s="23">
        <f>ROUND('Call Data'!$I182,0)</f>
        <v>1</v>
      </c>
    </row>
    <row r="183" spans="1:13" ht="14.25" customHeight="1" x14ac:dyDescent="0.35">
      <c r="A183" s="23" t="s">
        <v>217</v>
      </c>
      <c r="B183" s="23" t="s">
        <v>23</v>
      </c>
      <c r="C183" s="23">
        <v>115</v>
      </c>
      <c r="D183" s="24" t="str" cm="1">
        <f t="array" ref="D183">_xlfn.IFS(CallData[[#This Row],[Duration]]&lt;=15,"Very short",CallData[[#This Row],[Duration]]&lt;=30,"Short",CallData[[#This Row],[Duration]]&lt;=60,"Medium",CallData[[#This Row],[Duration]]&gt;60,"Long")</f>
        <v>Long</v>
      </c>
      <c r="E183" s="24" t="s">
        <v>19</v>
      </c>
      <c r="F183" s="25">
        <v>44992</v>
      </c>
      <c r="G183" s="26">
        <v>48</v>
      </c>
      <c r="H183" s="26" t="str" cm="1">
        <f t="array" ref="H183">_xlfn.IFS(CallData[[#This Row],[Purchase Amount]]&lt;=50,"Low",CallData[[#This Row],[Purchase Amount]]&lt;=100,"Medium",CallData[[#This Row],[Purchase Amount]]&lt;=150,"High",CallData[[#This Row],[Purchase Amount]]&gt;150,"Very High")</f>
        <v>Low</v>
      </c>
      <c r="I183" s="23">
        <v>4.7</v>
      </c>
      <c r="J183" s="23">
        <f>IF(MONTH('Call Data'!$F183)&lt;=6, YEAR('Call Data'!$F183), YEAR('Call Data'!$F183)+1)</f>
        <v>2023</v>
      </c>
      <c r="K183" s="23" t="str">
        <f>TEXT('Call Data'!$F183,"DDDD")</f>
        <v>Tuesday</v>
      </c>
      <c r="L183" s="23" t="s">
        <v>14</v>
      </c>
      <c r="M183" s="23">
        <f>ROUND('Call Data'!$I183,0)</f>
        <v>5</v>
      </c>
    </row>
    <row r="184" spans="1:13" ht="14.25" customHeight="1" x14ac:dyDescent="0.35">
      <c r="A184" s="23" t="s">
        <v>218</v>
      </c>
      <c r="B184" s="23" t="s">
        <v>29</v>
      </c>
      <c r="C184" s="23">
        <v>69</v>
      </c>
      <c r="D184" s="24" t="str" cm="1">
        <f t="array" ref="D184">_xlfn.IFS(CallData[[#This Row],[Duration]]&lt;=15,"Very short",CallData[[#This Row],[Duration]]&lt;=30,"Short",CallData[[#This Row],[Duration]]&lt;=60,"Medium",CallData[[#This Row],[Duration]]&gt;60,"Long")</f>
        <v>Long</v>
      </c>
      <c r="E184" s="24" t="s">
        <v>19</v>
      </c>
      <c r="F184" s="25">
        <v>44992</v>
      </c>
      <c r="G184" s="26">
        <v>132</v>
      </c>
      <c r="H184" s="26" t="str" cm="1">
        <f t="array" ref="H184">_xlfn.IFS(CallData[[#This Row],[Purchase Amount]]&lt;=50,"Low",CallData[[#This Row],[Purchase Amount]]&lt;=100,"Medium",CallData[[#This Row],[Purchase Amount]]&lt;=150,"High",CallData[[#This Row],[Purchase Amount]]&gt;150,"Very High")</f>
        <v>High</v>
      </c>
      <c r="I184" s="23">
        <v>4.5</v>
      </c>
      <c r="J184" s="23">
        <f>IF(MONTH('Call Data'!$F184)&lt;=6, YEAR('Call Data'!$F184), YEAR('Call Data'!$F184)+1)</f>
        <v>2023</v>
      </c>
      <c r="K184" s="23" t="str">
        <f>TEXT('Call Data'!$F184,"DDDD")</f>
        <v>Tuesday</v>
      </c>
      <c r="L184" s="23" t="s">
        <v>14</v>
      </c>
      <c r="M184" s="23">
        <f>ROUND('Call Data'!$I184,0)</f>
        <v>5</v>
      </c>
    </row>
    <row r="185" spans="1:13" ht="14.25" customHeight="1" x14ac:dyDescent="0.35">
      <c r="A185" s="23" t="s">
        <v>219</v>
      </c>
      <c r="B185" s="23" t="s">
        <v>40</v>
      </c>
      <c r="C185" s="23">
        <v>103</v>
      </c>
      <c r="D185" s="24" t="str" cm="1">
        <f t="array" ref="D185">_xlfn.IFS(CallData[[#This Row],[Duration]]&lt;=15,"Very short",CallData[[#This Row],[Duration]]&lt;=30,"Short",CallData[[#This Row],[Duration]]&lt;=60,"Medium",CallData[[#This Row],[Duration]]&gt;60,"Long")</f>
        <v>Long</v>
      </c>
      <c r="E185" s="24" t="s">
        <v>13</v>
      </c>
      <c r="F185" s="25">
        <v>44992</v>
      </c>
      <c r="G185" s="26">
        <v>172</v>
      </c>
      <c r="H185" s="26" t="str" cm="1">
        <f t="array" ref="H185">_xlfn.IFS(CallData[[#This Row],[Purchase Amount]]&lt;=50,"Low",CallData[[#This Row],[Purchase Amount]]&lt;=100,"Medium",CallData[[#This Row],[Purchase Amount]]&lt;=150,"High",CallData[[#This Row],[Purchase Amount]]&gt;150,"Very High")</f>
        <v>Very High</v>
      </c>
      <c r="I185" s="23">
        <v>4.3</v>
      </c>
      <c r="J185" s="23">
        <f>IF(MONTH('Call Data'!$F185)&lt;=6, YEAR('Call Data'!$F185), YEAR('Call Data'!$F185)+1)</f>
        <v>2023</v>
      </c>
      <c r="K185" s="23" t="str">
        <f>TEXT('Call Data'!$F185,"DDDD")</f>
        <v>Tuesday</v>
      </c>
      <c r="L185" s="23" t="s">
        <v>14</v>
      </c>
      <c r="M185" s="23">
        <f>ROUND('Call Data'!$I185,0)</f>
        <v>4</v>
      </c>
    </row>
    <row r="186" spans="1:13" ht="14.25" customHeight="1" x14ac:dyDescent="0.35">
      <c r="A186" s="23" t="s">
        <v>220</v>
      </c>
      <c r="B186" s="23" t="s">
        <v>40</v>
      </c>
      <c r="C186" s="23">
        <v>75</v>
      </c>
      <c r="D186" s="24" t="str" cm="1">
        <f t="array" ref="D186">_xlfn.IFS(CallData[[#This Row],[Duration]]&lt;=15,"Very short",CallData[[#This Row],[Duration]]&lt;=30,"Short",CallData[[#This Row],[Duration]]&lt;=60,"Medium",CallData[[#This Row],[Duration]]&gt;60,"Long")</f>
        <v>Long</v>
      </c>
      <c r="E186" s="24" t="s">
        <v>13</v>
      </c>
      <c r="F186" s="25">
        <v>44992</v>
      </c>
      <c r="G186" s="26">
        <v>111</v>
      </c>
      <c r="H186" s="26" t="str" cm="1">
        <f t="array" ref="H186">_xlfn.IFS(CallData[[#This Row],[Purchase Amount]]&lt;=50,"Low",CallData[[#This Row],[Purchase Amount]]&lt;=100,"Medium",CallData[[#This Row],[Purchase Amount]]&lt;=150,"High",CallData[[#This Row],[Purchase Amount]]&gt;150,"Very High")</f>
        <v>High</v>
      </c>
      <c r="I186" s="23">
        <v>3.4</v>
      </c>
      <c r="J186" s="23">
        <f>IF(MONTH('Call Data'!$F186)&lt;=6, YEAR('Call Data'!$F186), YEAR('Call Data'!$F186)+1)</f>
        <v>2023</v>
      </c>
      <c r="K186" s="23" t="str">
        <f>TEXT('Call Data'!$F186,"DDDD")</f>
        <v>Tuesday</v>
      </c>
      <c r="L186" s="23" t="s">
        <v>14</v>
      </c>
      <c r="M186" s="23">
        <f>ROUND('Call Data'!$I186,0)</f>
        <v>3</v>
      </c>
    </row>
    <row r="187" spans="1:13" ht="14.25" customHeight="1" x14ac:dyDescent="0.35">
      <c r="A187" s="23" t="s">
        <v>221</v>
      </c>
      <c r="B187" s="23" t="s">
        <v>38</v>
      </c>
      <c r="C187" s="23">
        <v>92</v>
      </c>
      <c r="D187" s="24" t="str" cm="1">
        <f t="array" ref="D187">_xlfn.IFS(CallData[[#This Row],[Duration]]&lt;=15,"Very short",CallData[[#This Row],[Duration]]&lt;=30,"Short",CallData[[#This Row],[Duration]]&lt;=60,"Medium",CallData[[#This Row],[Duration]]&gt;60,"Long")</f>
        <v>Long</v>
      </c>
      <c r="E187" s="24" t="s">
        <v>13</v>
      </c>
      <c r="F187" s="25">
        <v>44992</v>
      </c>
      <c r="G187" s="26">
        <v>58</v>
      </c>
      <c r="H187" s="26" t="str" cm="1">
        <f t="array" ref="H187">_xlfn.IFS(CallData[[#This Row],[Purchase Amount]]&lt;=50,"Low",CallData[[#This Row],[Purchase Amount]]&lt;=100,"Medium",CallData[[#This Row],[Purchase Amount]]&lt;=150,"High",CallData[[#This Row],[Purchase Amount]]&gt;150,"Very High")</f>
        <v>Medium</v>
      </c>
      <c r="I187" s="23">
        <v>3.6</v>
      </c>
      <c r="J187" s="23">
        <f>IF(MONTH('Call Data'!$F187)&lt;=6, YEAR('Call Data'!$F187), YEAR('Call Data'!$F187)+1)</f>
        <v>2023</v>
      </c>
      <c r="K187" s="23" t="str">
        <f>TEXT('Call Data'!$F187,"DDDD")</f>
        <v>Tuesday</v>
      </c>
      <c r="L187" s="23" t="s">
        <v>14</v>
      </c>
      <c r="M187" s="23">
        <f>ROUND('Call Data'!$I187,0)</f>
        <v>4</v>
      </c>
    </row>
    <row r="188" spans="1:13" ht="14.25" customHeight="1" x14ac:dyDescent="0.35">
      <c r="A188" s="23" t="s">
        <v>222</v>
      </c>
      <c r="B188" s="23" t="s">
        <v>38</v>
      </c>
      <c r="C188" s="23">
        <v>41</v>
      </c>
      <c r="D188" s="24" t="str" cm="1">
        <f t="array" ref="D188">_xlfn.IFS(CallData[[#This Row],[Duration]]&lt;=15,"Very short",CallData[[#This Row],[Duration]]&lt;=30,"Short",CallData[[#This Row],[Duration]]&lt;=60,"Medium",CallData[[#This Row],[Duration]]&gt;60,"Long")</f>
        <v>Medium</v>
      </c>
      <c r="E188" s="24" t="s">
        <v>31</v>
      </c>
      <c r="F188" s="25">
        <v>44992</v>
      </c>
      <c r="G188" s="26">
        <v>68</v>
      </c>
      <c r="H188" s="26" t="str" cm="1">
        <f t="array" ref="H188">_xlfn.IFS(CallData[[#This Row],[Purchase Amount]]&lt;=50,"Low",CallData[[#This Row],[Purchase Amount]]&lt;=100,"Medium",CallData[[#This Row],[Purchase Amount]]&lt;=150,"High",CallData[[#This Row],[Purchase Amount]]&gt;150,"Very High")</f>
        <v>Medium</v>
      </c>
      <c r="I188" s="23">
        <v>4</v>
      </c>
      <c r="J188" s="23">
        <f>IF(MONTH('Call Data'!$F188)&lt;=6, YEAR('Call Data'!$F188), YEAR('Call Data'!$F188)+1)</f>
        <v>2023</v>
      </c>
      <c r="K188" s="23" t="str">
        <f>TEXT('Call Data'!$F188,"DDDD")</f>
        <v>Tuesday</v>
      </c>
      <c r="L188" s="23" t="s">
        <v>27</v>
      </c>
      <c r="M188" s="23">
        <f>ROUND('Call Data'!$I188,0)</f>
        <v>4</v>
      </c>
    </row>
    <row r="189" spans="1:13" ht="14.25" customHeight="1" x14ac:dyDescent="0.35">
      <c r="A189" s="23" t="s">
        <v>223</v>
      </c>
      <c r="B189" s="23" t="s">
        <v>40</v>
      </c>
      <c r="C189" s="23">
        <v>134</v>
      </c>
      <c r="D189" s="24" t="str" cm="1">
        <f t="array" ref="D189">_xlfn.IFS(CallData[[#This Row],[Duration]]&lt;=15,"Very short",CallData[[#This Row],[Duration]]&lt;=30,"Short",CallData[[#This Row],[Duration]]&lt;=60,"Medium",CallData[[#This Row],[Duration]]&gt;60,"Long")</f>
        <v>Long</v>
      </c>
      <c r="E189" s="24" t="s">
        <v>24</v>
      </c>
      <c r="F189" s="25">
        <v>44992</v>
      </c>
      <c r="G189" s="26">
        <v>160</v>
      </c>
      <c r="H189" s="26" t="str" cm="1">
        <f t="array" ref="H189">_xlfn.IFS(CallData[[#This Row],[Purchase Amount]]&lt;=50,"Low",CallData[[#This Row],[Purchase Amount]]&lt;=100,"Medium",CallData[[#This Row],[Purchase Amount]]&lt;=150,"High",CallData[[#This Row],[Purchase Amount]]&gt;150,"Very High")</f>
        <v>Very High</v>
      </c>
      <c r="I189" s="23">
        <v>4.5</v>
      </c>
      <c r="J189" s="23">
        <f>IF(MONTH('Call Data'!$F189)&lt;=6, YEAR('Call Data'!$F189), YEAR('Call Data'!$F189)+1)</f>
        <v>2023</v>
      </c>
      <c r="K189" s="23" t="str">
        <f>TEXT('Call Data'!$F189,"DDDD")</f>
        <v>Tuesday</v>
      </c>
      <c r="L189" s="23" t="s">
        <v>25</v>
      </c>
      <c r="M189" s="23">
        <f>ROUND('Call Data'!$I189,0)</f>
        <v>5</v>
      </c>
    </row>
    <row r="190" spans="1:13" ht="14.25" customHeight="1" x14ac:dyDescent="0.35">
      <c r="A190" s="23" t="s">
        <v>224</v>
      </c>
      <c r="B190" s="23" t="s">
        <v>68</v>
      </c>
      <c r="C190" s="23">
        <v>80</v>
      </c>
      <c r="D190" s="24" t="str" cm="1">
        <f t="array" ref="D190">_xlfn.IFS(CallData[[#This Row],[Duration]]&lt;=15,"Very short",CallData[[#This Row],[Duration]]&lt;=30,"Short",CallData[[#This Row],[Duration]]&lt;=60,"Medium",CallData[[#This Row],[Duration]]&gt;60,"Long")</f>
        <v>Long</v>
      </c>
      <c r="E190" s="24" t="s">
        <v>35</v>
      </c>
      <c r="F190" s="25">
        <v>44992</v>
      </c>
      <c r="G190" s="26">
        <v>45</v>
      </c>
      <c r="H190" s="26" t="str" cm="1">
        <f t="array" ref="H190">_xlfn.IFS(CallData[[#This Row],[Purchase Amount]]&lt;=50,"Low",CallData[[#This Row],[Purchase Amount]]&lt;=100,"Medium",CallData[[#This Row],[Purchase Amount]]&lt;=150,"High",CallData[[#This Row],[Purchase Amount]]&gt;150,"Very High")</f>
        <v>Low</v>
      </c>
      <c r="I190" s="23">
        <v>3</v>
      </c>
      <c r="J190" s="23">
        <f>IF(MONTH('Call Data'!$F190)&lt;=6, YEAR('Call Data'!$F190), YEAR('Call Data'!$F190)+1)</f>
        <v>2023</v>
      </c>
      <c r="K190" s="23" t="str">
        <f>TEXT('Call Data'!$F190,"DDDD")</f>
        <v>Tuesday</v>
      </c>
      <c r="L190" s="23" t="s">
        <v>14</v>
      </c>
      <c r="M190" s="23">
        <f>ROUND('Call Data'!$I190,0)</f>
        <v>3</v>
      </c>
    </row>
    <row r="191" spans="1:13" ht="14.25" customHeight="1" x14ac:dyDescent="0.35">
      <c r="A191" s="23" t="s">
        <v>225</v>
      </c>
      <c r="B191" s="23" t="s">
        <v>88</v>
      </c>
      <c r="C191" s="23">
        <v>103</v>
      </c>
      <c r="D191" s="24" t="str" cm="1">
        <f t="array" ref="D191">_xlfn.IFS(CallData[[#This Row],[Duration]]&lt;=15,"Very short",CallData[[#This Row],[Duration]]&lt;=30,"Short",CallData[[#This Row],[Duration]]&lt;=60,"Medium",CallData[[#This Row],[Duration]]&gt;60,"Long")</f>
        <v>Long</v>
      </c>
      <c r="E191" s="24" t="s">
        <v>19</v>
      </c>
      <c r="F191" s="25">
        <v>44993</v>
      </c>
      <c r="G191" s="26">
        <v>117</v>
      </c>
      <c r="H191" s="26" t="str" cm="1">
        <f t="array" ref="H191">_xlfn.IFS(CallData[[#This Row],[Purchase Amount]]&lt;=50,"Low",CallData[[#This Row],[Purchase Amount]]&lt;=100,"Medium",CallData[[#This Row],[Purchase Amount]]&lt;=150,"High",CallData[[#This Row],[Purchase Amount]]&gt;150,"Very High")</f>
        <v>High</v>
      </c>
      <c r="I191" s="23">
        <v>3</v>
      </c>
      <c r="J191" s="23">
        <f>IF(MONTH('Call Data'!$F191)&lt;=6, YEAR('Call Data'!$F191), YEAR('Call Data'!$F191)+1)</f>
        <v>2023</v>
      </c>
      <c r="K191" s="23" t="str">
        <f>TEXT('Call Data'!$F191,"DDDD")</f>
        <v>Wednesday</v>
      </c>
      <c r="L191" s="23" t="s">
        <v>14</v>
      </c>
      <c r="M191" s="23">
        <f>ROUND('Call Data'!$I191,0)</f>
        <v>3</v>
      </c>
    </row>
    <row r="192" spans="1:13" ht="14.25" customHeight="1" x14ac:dyDescent="0.35">
      <c r="A192" s="23" t="s">
        <v>226</v>
      </c>
      <c r="B192" s="23" t="s">
        <v>50</v>
      </c>
      <c r="C192" s="23">
        <v>20</v>
      </c>
      <c r="D192" s="24" t="str" cm="1">
        <f t="array" ref="D192">_xlfn.IFS(CallData[[#This Row],[Duration]]&lt;=15,"Very short",CallData[[#This Row],[Duration]]&lt;=30,"Short",CallData[[#This Row],[Duration]]&lt;=60,"Medium",CallData[[#This Row],[Duration]]&gt;60,"Long")</f>
        <v>Short</v>
      </c>
      <c r="E192" s="24" t="s">
        <v>13</v>
      </c>
      <c r="F192" s="25">
        <v>44994</v>
      </c>
      <c r="G192" s="26">
        <v>22</v>
      </c>
      <c r="H192" s="26" t="str" cm="1">
        <f t="array" ref="H192">_xlfn.IFS(CallData[[#This Row],[Purchase Amount]]&lt;=50,"Low",CallData[[#This Row],[Purchase Amount]]&lt;=100,"Medium",CallData[[#This Row],[Purchase Amount]]&lt;=150,"High",CallData[[#This Row],[Purchase Amount]]&gt;150,"Very High")</f>
        <v>Low</v>
      </c>
      <c r="I192" s="23">
        <v>1.6</v>
      </c>
      <c r="J192" s="23">
        <f>IF(MONTH('Call Data'!$F192)&lt;=6, YEAR('Call Data'!$F192), YEAR('Call Data'!$F192)+1)</f>
        <v>2023</v>
      </c>
      <c r="K192" s="23" t="str">
        <f>TEXT('Call Data'!$F192,"DDDD")</f>
        <v>Thursday</v>
      </c>
      <c r="L192" s="23" t="s">
        <v>47</v>
      </c>
      <c r="M192" s="23">
        <f>ROUND('Call Data'!$I192,0)</f>
        <v>2</v>
      </c>
    </row>
    <row r="193" spans="1:13" ht="14.25" customHeight="1" x14ac:dyDescent="0.35">
      <c r="A193" s="23" t="s">
        <v>227</v>
      </c>
      <c r="B193" s="23" t="s">
        <v>88</v>
      </c>
      <c r="C193" s="23">
        <v>75</v>
      </c>
      <c r="D193" s="24" t="str" cm="1">
        <f t="array" ref="D193">_xlfn.IFS(CallData[[#This Row],[Duration]]&lt;=15,"Very short",CallData[[#This Row],[Duration]]&lt;=30,"Short",CallData[[#This Row],[Duration]]&lt;=60,"Medium",CallData[[#This Row],[Duration]]&gt;60,"Long")</f>
        <v>Long</v>
      </c>
      <c r="E193" s="24" t="s">
        <v>35</v>
      </c>
      <c r="F193" s="25">
        <v>44994</v>
      </c>
      <c r="G193" s="26">
        <v>195</v>
      </c>
      <c r="H193" s="26" t="str" cm="1">
        <f t="array" ref="H193">_xlfn.IFS(CallData[[#This Row],[Purchase Amount]]&lt;=50,"Low",CallData[[#This Row],[Purchase Amount]]&lt;=100,"Medium",CallData[[#This Row],[Purchase Amount]]&lt;=150,"High",CallData[[#This Row],[Purchase Amount]]&gt;150,"Very High")</f>
        <v>Very High</v>
      </c>
      <c r="I193" s="23">
        <v>3</v>
      </c>
      <c r="J193" s="23">
        <f>IF(MONTH('Call Data'!$F193)&lt;=6, YEAR('Call Data'!$F193), YEAR('Call Data'!$F193)+1)</f>
        <v>2023</v>
      </c>
      <c r="K193" s="23" t="str">
        <f>TEXT('Call Data'!$F193,"DDDD")</f>
        <v>Thursday</v>
      </c>
      <c r="L193" s="23" t="s">
        <v>14</v>
      </c>
      <c r="M193" s="23">
        <f>ROUND('Call Data'!$I193,0)</f>
        <v>3</v>
      </c>
    </row>
    <row r="194" spans="1:13" ht="14.25" customHeight="1" x14ac:dyDescent="0.35">
      <c r="A194" s="23" t="s">
        <v>228</v>
      </c>
      <c r="B194" s="23" t="s">
        <v>38</v>
      </c>
      <c r="C194" s="23">
        <v>80</v>
      </c>
      <c r="D194" s="24" t="str" cm="1">
        <f t="array" ref="D194">_xlfn.IFS(CallData[[#This Row],[Duration]]&lt;=15,"Very short",CallData[[#This Row],[Duration]]&lt;=30,"Short",CallData[[#This Row],[Duration]]&lt;=60,"Medium",CallData[[#This Row],[Duration]]&gt;60,"Long")</f>
        <v>Long</v>
      </c>
      <c r="E194" s="24" t="s">
        <v>24</v>
      </c>
      <c r="F194" s="25">
        <v>44994</v>
      </c>
      <c r="G194" s="26">
        <v>168</v>
      </c>
      <c r="H194" s="26" t="str" cm="1">
        <f t="array" ref="H194">_xlfn.IFS(CallData[[#This Row],[Purchase Amount]]&lt;=50,"Low",CallData[[#This Row],[Purchase Amount]]&lt;=100,"Medium",CallData[[#This Row],[Purchase Amount]]&lt;=150,"High",CallData[[#This Row],[Purchase Amount]]&gt;150,"Very High")</f>
        <v>Very High</v>
      </c>
      <c r="I194" s="23">
        <v>3.7</v>
      </c>
      <c r="J194" s="23">
        <f>IF(MONTH('Call Data'!$F194)&lt;=6, YEAR('Call Data'!$F194), YEAR('Call Data'!$F194)+1)</f>
        <v>2023</v>
      </c>
      <c r="K194" s="23" t="str">
        <f>TEXT('Call Data'!$F194,"DDDD")</f>
        <v>Thursday</v>
      </c>
      <c r="L194" s="23" t="s">
        <v>14</v>
      </c>
      <c r="M194" s="23">
        <f>ROUND('Call Data'!$I194,0)</f>
        <v>4</v>
      </c>
    </row>
    <row r="195" spans="1:13" ht="14.25" customHeight="1" x14ac:dyDescent="0.35">
      <c r="A195" s="23" t="s">
        <v>229</v>
      </c>
      <c r="B195" s="23" t="s">
        <v>29</v>
      </c>
      <c r="C195" s="23">
        <v>85</v>
      </c>
      <c r="D195" s="24" t="str" cm="1">
        <f t="array" ref="D195">_xlfn.IFS(CallData[[#This Row],[Duration]]&lt;=15,"Very short",CallData[[#This Row],[Duration]]&lt;=30,"Short",CallData[[#This Row],[Duration]]&lt;=60,"Medium",CallData[[#This Row],[Duration]]&gt;60,"Long")</f>
        <v>Long</v>
      </c>
      <c r="E195" s="24" t="s">
        <v>31</v>
      </c>
      <c r="F195" s="25">
        <v>44995</v>
      </c>
      <c r="G195" s="26">
        <v>46</v>
      </c>
      <c r="H195" s="26" t="str" cm="1">
        <f t="array" ref="H195">_xlfn.IFS(CallData[[#This Row],[Purchase Amount]]&lt;=50,"Low",CallData[[#This Row],[Purchase Amount]]&lt;=100,"Medium",CallData[[#This Row],[Purchase Amount]]&lt;=150,"High",CallData[[#This Row],[Purchase Amount]]&gt;150,"Very High")</f>
        <v>Low</v>
      </c>
      <c r="I195" s="23">
        <v>4.9000000000000004</v>
      </c>
      <c r="J195" s="23">
        <f>IF(MONTH('Call Data'!$F195)&lt;=6, YEAR('Call Data'!$F195), YEAR('Call Data'!$F195)+1)</f>
        <v>2023</v>
      </c>
      <c r="K195" s="23" t="str">
        <f>TEXT('Call Data'!$F195,"DDDD")</f>
        <v>Friday</v>
      </c>
      <c r="L195" s="23" t="s">
        <v>14</v>
      </c>
      <c r="M195" s="23">
        <f>ROUND('Call Data'!$I195,0)</f>
        <v>5</v>
      </c>
    </row>
    <row r="196" spans="1:13" ht="14.25" customHeight="1" x14ac:dyDescent="0.35">
      <c r="A196" s="23" t="s">
        <v>230</v>
      </c>
      <c r="B196" s="23" t="s">
        <v>16</v>
      </c>
      <c r="C196" s="23">
        <v>155</v>
      </c>
      <c r="D196" s="24" t="str" cm="1">
        <f t="array" ref="D196">_xlfn.IFS(CallData[[#This Row],[Duration]]&lt;=15,"Very short",CallData[[#This Row],[Duration]]&lt;=30,"Short",CallData[[#This Row],[Duration]]&lt;=60,"Medium",CallData[[#This Row],[Duration]]&gt;60,"Long")</f>
        <v>Long</v>
      </c>
      <c r="E196" s="24" t="s">
        <v>13</v>
      </c>
      <c r="F196" s="25">
        <v>44995</v>
      </c>
      <c r="G196" s="26">
        <v>164</v>
      </c>
      <c r="H196" s="26" t="str" cm="1">
        <f t="array" ref="H196">_xlfn.IFS(CallData[[#This Row],[Purchase Amount]]&lt;=50,"Low",CallData[[#This Row],[Purchase Amount]]&lt;=100,"Medium",CallData[[#This Row],[Purchase Amount]]&lt;=150,"High",CallData[[#This Row],[Purchase Amount]]&gt;150,"Very High")</f>
        <v>Very High</v>
      </c>
      <c r="I196" s="23">
        <v>3.4</v>
      </c>
      <c r="J196" s="23">
        <f>IF(MONTH('Call Data'!$F196)&lt;=6, YEAR('Call Data'!$F196), YEAR('Call Data'!$F196)+1)</f>
        <v>2023</v>
      </c>
      <c r="K196" s="23" t="str">
        <f>TEXT('Call Data'!$F196,"DDDD")</f>
        <v>Friday</v>
      </c>
      <c r="L196" s="23" t="s">
        <v>25</v>
      </c>
      <c r="M196" s="23">
        <f>ROUND('Call Data'!$I196,0)</f>
        <v>3</v>
      </c>
    </row>
    <row r="197" spans="1:13" ht="14.25" customHeight="1" x14ac:dyDescent="0.35">
      <c r="A197" s="23" t="s">
        <v>231</v>
      </c>
      <c r="B197" s="23" t="s">
        <v>29</v>
      </c>
      <c r="C197" s="23">
        <v>63</v>
      </c>
      <c r="D197" s="24" t="str" cm="1">
        <f t="array" ref="D197">_xlfn.IFS(CallData[[#This Row],[Duration]]&lt;=15,"Very short",CallData[[#This Row],[Duration]]&lt;=30,"Short",CallData[[#This Row],[Duration]]&lt;=60,"Medium",CallData[[#This Row],[Duration]]&gt;60,"Long")</f>
        <v>Long</v>
      </c>
      <c r="E197" s="24" t="s">
        <v>31</v>
      </c>
      <c r="F197" s="25">
        <v>44995</v>
      </c>
      <c r="G197" s="26">
        <v>48</v>
      </c>
      <c r="H197" s="26" t="str" cm="1">
        <f t="array" ref="H197">_xlfn.IFS(CallData[[#This Row],[Purchase Amount]]&lt;=50,"Low",CallData[[#This Row],[Purchase Amount]]&lt;=100,"Medium",CallData[[#This Row],[Purchase Amount]]&lt;=150,"High",CallData[[#This Row],[Purchase Amount]]&gt;150,"Very High")</f>
        <v>Low</v>
      </c>
      <c r="I197" s="23">
        <v>5</v>
      </c>
      <c r="J197" s="23">
        <f>IF(MONTH('Call Data'!$F197)&lt;=6, YEAR('Call Data'!$F197), YEAR('Call Data'!$F197)+1)</f>
        <v>2023</v>
      </c>
      <c r="K197" s="23" t="str">
        <f>TEXT('Call Data'!$F197,"DDDD")</f>
        <v>Friday</v>
      </c>
      <c r="L197" s="23" t="s">
        <v>14</v>
      </c>
      <c r="M197" s="23">
        <f>ROUND('Call Data'!$I197,0)</f>
        <v>5</v>
      </c>
    </row>
    <row r="198" spans="1:13" ht="14.25" customHeight="1" x14ac:dyDescent="0.35">
      <c r="A198" s="23" t="s">
        <v>232</v>
      </c>
      <c r="B198" s="23" t="s">
        <v>18</v>
      </c>
      <c r="C198" s="23">
        <v>105</v>
      </c>
      <c r="D198" s="24" t="str" cm="1">
        <f t="array" ref="D198">_xlfn.IFS(CallData[[#This Row],[Duration]]&lt;=15,"Very short",CallData[[#This Row],[Duration]]&lt;=30,"Short",CallData[[#This Row],[Duration]]&lt;=60,"Medium",CallData[[#This Row],[Duration]]&gt;60,"Long")</f>
        <v>Long</v>
      </c>
      <c r="E198" s="24" t="s">
        <v>19</v>
      </c>
      <c r="F198" s="25">
        <v>44995</v>
      </c>
      <c r="G198" s="26">
        <v>96</v>
      </c>
      <c r="H198" s="26" t="str" cm="1">
        <f t="array" ref="H198">_xlfn.IFS(CallData[[#This Row],[Purchase Amount]]&lt;=50,"Low",CallData[[#This Row],[Purchase Amount]]&lt;=100,"Medium",CallData[[#This Row],[Purchase Amount]]&lt;=150,"High",CallData[[#This Row],[Purchase Amount]]&gt;150,"Very High")</f>
        <v>Medium</v>
      </c>
      <c r="I198" s="23">
        <v>5</v>
      </c>
      <c r="J198" s="23">
        <f>IF(MONTH('Call Data'!$F198)&lt;=6, YEAR('Call Data'!$F198), YEAR('Call Data'!$F198)+1)</f>
        <v>2023</v>
      </c>
      <c r="K198" s="23" t="str">
        <f>TEXT('Call Data'!$F198,"DDDD")</f>
        <v>Friday</v>
      </c>
      <c r="L198" s="23" t="s">
        <v>14</v>
      </c>
      <c r="M198" s="23">
        <f>ROUND('Call Data'!$I198,0)</f>
        <v>5</v>
      </c>
    </row>
    <row r="199" spans="1:13" ht="14.25" customHeight="1" x14ac:dyDescent="0.35">
      <c r="A199" s="23" t="s">
        <v>233</v>
      </c>
      <c r="B199" s="23" t="s">
        <v>29</v>
      </c>
      <c r="C199" s="23">
        <v>71</v>
      </c>
      <c r="D199" s="24" t="str" cm="1">
        <f t="array" ref="D199">_xlfn.IFS(CallData[[#This Row],[Duration]]&lt;=15,"Very short",CallData[[#This Row],[Duration]]&lt;=30,"Short",CallData[[#This Row],[Duration]]&lt;=60,"Medium",CallData[[#This Row],[Duration]]&gt;60,"Long")</f>
        <v>Long</v>
      </c>
      <c r="E199" s="24" t="s">
        <v>31</v>
      </c>
      <c r="F199" s="25">
        <v>44995</v>
      </c>
      <c r="G199" s="26">
        <v>105</v>
      </c>
      <c r="H199" s="26" t="str" cm="1">
        <f t="array" ref="H199">_xlfn.IFS(CallData[[#This Row],[Purchase Amount]]&lt;=50,"Low",CallData[[#This Row],[Purchase Amount]]&lt;=100,"Medium",CallData[[#This Row],[Purchase Amount]]&lt;=150,"High",CallData[[#This Row],[Purchase Amount]]&gt;150,"Very High")</f>
        <v>High</v>
      </c>
      <c r="I199" s="23">
        <v>4</v>
      </c>
      <c r="J199" s="23">
        <f>IF(MONTH('Call Data'!$F199)&lt;=6, YEAR('Call Data'!$F199), YEAR('Call Data'!$F199)+1)</f>
        <v>2023</v>
      </c>
      <c r="K199" s="23" t="str">
        <f>TEXT('Call Data'!$F199,"DDDD")</f>
        <v>Friday</v>
      </c>
      <c r="L199" s="23" t="s">
        <v>14</v>
      </c>
      <c r="M199" s="23">
        <f>ROUND('Call Data'!$I199,0)</f>
        <v>4</v>
      </c>
    </row>
    <row r="200" spans="1:13" ht="14.25" customHeight="1" x14ac:dyDescent="0.35">
      <c r="A200" s="23" t="s">
        <v>234</v>
      </c>
      <c r="B200" s="23" t="s">
        <v>16</v>
      </c>
      <c r="C200" s="23">
        <v>100</v>
      </c>
      <c r="D200" s="24" t="str" cm="1">
        <f t="array" ref="D200">_xlfn.IFS(CallData[[#This Row],[Duration]]&lt;=15,"Very short",CallData[[#This Row],[Duration]]&lt;=30,"Short",CallData[[#This Row],[Duration]]&lt;=60,"Medium",CallData[[#This Row],[Duration]]&gt;60,"Long")</f>
        <v>Long</v>
      </c>
      <c r="E200" s="24" t="s">
        <v>31</v>
      </c>
      <c r="F200" s="25">
        <v>44996</v>
      </c>
      <c r="G200" s="26">
        <v>44</v>
      </c>
      <c r="H200" s="26" t="str" cm="1">
        <f t="array" ref="H200">_xlfn.IFS(CallData[[#This Row],[Purchase Amount]]&lt;=50,"Low",CallData[[#This Row],[Purchase Amount]]&lt;=100,"Medium",CallData[[#This Row],[Purchase Amount]]&lt;=150,"High",CallData[[#This Row],[Purchase Amount]]&gt;150,"Very High")</f>
        <v>Low</v>
      </c>
      <c r="I200" s="23">
        <v>3.6</v>
      </c>
      <c r="J200" s="23">
        <f>IF(MONTH('Call Data'!$F200)&lt;=6, YEAR('Call Data'!$F200), YEAR('Call Data'!$F200)+1)</f>
        <v>2023</v>
      </c>
      <c r="K200" s="23" t="str">
        <f>TEXT('Call Data'!$F200,"DDDD")</f>
        <v>Saturday</v>
      </c>
      <c r="L200" s="23" t="s">
        <v>14</v>
      </c>
      <c r="M200" s="23">
        <f>ROUND('Call Data'!$I200,0)</f>
        <v>4</v>
      </c>
    </row>
    <row r="201" spans="1:13" ht="14.25" customHeight="1" x14ac:dyDescent="0.35">
      <c r="A201" s="23" t="s">
        <v>235</v>
      </c>
      <c r="B201" s="23" t="s">
        <v>12</v>
      </c>
      <c r="C201" s="23">
        <v>93</v>
      </c>
      <c r="D201" s="24" t="str" cm="1">
        <f t="array" ref="D201">_xlfn.IFS(CallData[[#This Row],[Duration]]&lt;=15,"Very short",CallData[[#This Row],[Duration]]&lt;=30,"Short",CallData[[#This Row],[Duration]]&lt;=60,"Medium",CallData[[#This Row],[Duration]]&gt;60,"Long")</f>
        <v>Long</v>
      </c>
      <c r="E201" s="24" t="s">
        <v>24</v>
      </c>
      <c r="F201" s="25">
        <v>44996</v>
      </c>
      <c r="G201" s="26">
        <v>132</v>
      </c>
      <c r="H201" s="26" t="str" cm="1">
        <f t="array" ref="H201">_xlfn.IFS(CallData[[#This Row],[Purchase Amount]]&lt;=50,"Low",CallData[[#This Row],[Purchase Amount]]&lt;=100,"Medium",CallData[[#This Row],[Purchase Amount]]&lt;=150,"High",CallData[[#This Row],[Purchase Amount]]&gt;150,"Very High")</f>
        <v>High</v>
      </c>
      <c r="I201" s="23">
        <v>3.7</v>
      </c>
      <c r="J201" s="23">
        <f>IF(MONTH('Call Data'!$F201)&lt;=6, YEAR('Call Data'!$F201), YEAR('Call Data'!$F201)+1)</f>
        <v>2023</v>
      </c>
      <c r="K201" s="23" t="str">
        <f>TEXT('Call Data'!$F201,"DDDD")</f>
        <v>Saturday</v>
      </c>
      <c r="L201" s="23" t="s">
        <v>14</v>
      </c>
      <c r="M201" s="23">
        <f>ROUND('Call Data'!$I201,0)</f>
        <v>4</v>
      </c>
    </row>
    <row r="202" spans="1:13" ht="14.25" customHeight="1" x14ac:dyDescent="0.35">
      <c r="A202" s="23" t="s">
        <v>236</v>
      </c>
      <c r="B202" s="23" t="s">
        <v>18</v>
      </c>
      <c r="C202" s="23">
        <v>84</v>
      </c>
      <c r="D202" s="24" t="str" cm="1">
        <f t="array" ref="D202">_xlfn.IFS(CallData[[#This Row],[Duration]]&lt;=15,"Very short",CallData[[#This Row],[Duration]]&lt;=30,"Short",CallData[[#This Row],[Duration]]&lt;=60,"Medium",CallData[[#This Row],[Duration]]&gt;60,"Long")</f>
        <v>Long</v>
      </c>
      <c r="E202" s="24" t="s">
        <v>13</v>
      </c>
      <c r="F202" s="25">
        <v>44996</v>
      </c>
      <c r="G202" s="26">
        <v>54</v>
      </c>
      <c r="H202" s="26" t="str" cm="1">
        <f t="array" ref="H202">_xlfn.IFS(CallData[[#This Row],[Purchase Amount]]&lt;=50,"Low",CallData[[#This Row],[Purchase Amount]]&lt;=100,"Medium",CallData[[#This Row],[Purchase Amount]]&lt;=150,"High",CallData[[#This Row],[Purchase Amount]]&gt;150,"Very High")</f>
        <v>Medium</v>
      </c>
      <c r="I202" s="23">
        <v>4.2</v>
      </c>
      <c r="J202" s="23">
        <f>IF(MONTH('Call Data'!$F202)&lt;=6, YEAR('Call Data'!$F202), YEAR('Call Data'!$F202)+1)</f>
        <v>2023</v>
      </c>
      <c r="K202" s="23" t="str">
        <f>TEXT('Call Data'!$F202,"DDDD")</f>
        <v>Saturday</v>
      </c>
      <c r="L202" s="23" t="s">
        <v>14</v>
      </c>
      <c r="M202" s="23">
        <f>ROUND('Call Data'!$I202,0)</f>
        <v>4</v>
      </c>
    </row>
    <row r="203" spans="1:13" ht="14.25" customHeight="1" x14ac:dyDescent="0.35">
      <c r="A203" s="23" t="s">
        <v>237</v>
      </c>
      <c r="B203" s="23" t="s">
        <v>68</v>
      </c>
      <c r="C203" s="23">
        <v>56</v>
      </c>
      <c r="D203" s="24" t="str" cm="1">
        <f t="array" ref="D203">_xlfn.IFS(CallData[[#This Row],[Duration]]&lt;=15,"Very short",CallData[[#This Row],[Duration]]&lt;=30,"Short",CallData[[#This Row],[Duration]]&lt;=60,"Medium",CallData[[#This Row],[Duration]]&gt;60,"Long")</f>
        <v>Medium</v>
      </c>
      <c r="E203" s="24" t="s">
        <v>35</v>
      </c>
      <c r="F203" s="25">
        <v>44996</v>
      </c>
      <c r="G203" s="26">
        <v>129</v>
      </c>
      <c r="H203" s="26" t="str" cm="1">
        <f t="array" ref="H203">_xlfn.IFS(CallData[[#This Row],[Purchase Amount]]&lt;=50,"Low",CallData[[#This Row],[Purchase Amount]]&lt;=100,"Medium",CallData[[#This Row],[Purchase Amount]]&lt;=150,"High",CallData[[#This Row],[Purchase Amount]]&gt;150,"Very High")</f>
        <v>High</v>
      </c>
      <c r="I203" s="23">
        <v>2.1</v>
      </c>
      <c r="J203" s="23">
        <f>IF(MONTH('Call Data'!$F203)&lt;=6, YEAR('Call Data'!$F203), YEAR('Call Data'!$F203)+1)</f>
        <v>2023</v>
      </c>
      <c r="K203" s="23" t="str">
        <f>TEXT('Call Data'!$F203,"DDDD")</f>
        <v>Saturday</v>
      </c>
      <c r="L203" s="23" t="s">
        <v>27</v>
      </c>
      <c r="M203" s="23">
        <f>ROUND('Call Data'!$I203,0)</f>
        <v>2</v>
      </c>
    </row>
    <row r="204" spans="1:13" ht="14.25" customHeight="1" x14ac:dyDescent="0.35">
      <c r="A204" s="23" t="s">
        <v>238</v>
      </c>
      <c r="B204" s="23" t="s">
        <v>68</v>
      </c>
      <c r="C204" s="23">
        <v>63</v>
      </c>
      <c r="D204" s="24" t="str" cm="1">
        <f t="array" ref="D204">_xlfn.IFS(CallData[[#This Row],[Duration]]&lt;=15,"Very short",CallData[[#This Row],[Duration]]&lt;=30,"Short",CallData[[#This Row],[Duration]]&lt;=60,"Medium",CallData[[#This Row],[Duration]]&gt;60,"Long")</f>
        <v>Long</v>
      </c>
      <c r="E204" s="24" t="s">
        <v>31</v>
      </c>
      <c r="F204" s="25">
        <v>44996</v>
      </c>
      <c r="G204" s="26">
        <v>42</v>
      </c>
      <c r="H204" s="26" t="str" cm="1">
        <f t="array" ref="H204">_xlfn.IFS(CallData[[#This Row],[Purchase Amount]]&lt;=50,"Low",CallData[[#This Row],[Purchase Amount]]&lt;=100,"Medium",CallData[[#This Row],[Purchase Amount]]&lt;=150,"High",CallData[[#This Row],[Purchase Amount]]&gt;150,"Very High")</f>
        <v>Low</v>
      </c>
      <c r="I204" s="23">
        <v>4</v>
      </c>
      <c r="J204" s="23">
        <f>IF(MONTH('Call Data'!$F204)&lt;=6, YEAR('Call Data'!$F204), YEAR('Call Data'!$F204)+1)</f>
        <v>2023</v>
      </c>
      <c r="K204" s="23" t="str">
        <f>TEXT('Call Data'!$F204,"DDDD")</f>
        <v>Saturday</v>
      </c>
      <c r="L204" s="23" t="s">
        <v>14</v>
      </c>
      <c r="M204" s="23">
        <f>ROUND('Call Data'!$I204,0)</f>
        <v>4</v>
      </c>
    </row>
    <row r="205" spans="1:13" ht="14.25" customHeight="1" x14ac:dyDescent="0.35">
      <c r="A205" s="23" t="s">
        <v>239</v>
      </c>
      <c r="B205" s="23" t="s">
        <v>46</v>
      </c>
      <c r="C205" s="23">
        <v>83</v>
      </c>
      <c r="D205" s="24" t="str" cm="1">
        <f t="array" ref="D205">_xlfn.IFS(CallData[[#This Row],[Duration]]&lt;=15,"Very short",CallData[[#This Row],[Duration]]&lt;=30,"Short",CallData[[#This Row],[Duration]]&lt;=60,"Medium",CallData[[#This Row],[Duration]]&gt;60,"Long")</f>
        <v>Long</v>
      </c>
      <c r="E205" s="24" t="s">
        <v>31</v>
      </c>
      <c r="F205" s="25">
        <v>44996</v>
      </c>
      <c r="G205" s="26">
        <v>42</v>
      </c>
      <c r="H205" s="26" t="str" cm="1">
        <f t="array" ref="H205">_xlfn.IFS(CallData[[#This Row],[Purchase Amount]]&lt;=50,"Low",CallData[[#This Row],[Purchase Amount]]&lt;=100,"Medium",CallData[[#This Row],[Purchase Amount]]&lt;=150,"High",CallData[[#This Row],[Purchase Amount]]&gt;150,"Very High")</f>
        <v>Low</v>
      </c>
      <c r="I205" s="23">
        <v>4.2</v>
      </c>
      <c r="J205" s="23">
        <f>IF(MONTH('Call Data'!$F205)&lt;=6, YEAR('Call Data'!$F205), YEAR('Call Data'!$F205)+1)</f>
        <v>2023</v>
      </c>
      <c r="K205" s="23" t="str">
        <f>TEXT('Call Data'!$F205,"DDDD")</f>
        <v>Saturday</v>
      </c>
      <c r="L205" s="23" t="s">
        <v>14</v>
      </c>
      <c r="M205" s="23">
        <f>ROUND('Call Data'!$I205,0)</f>
        <v>4</v>
      </c>
    </row>
    <row r="206" spans="1:13" ht="14.25" customHeight="1" x14ac:dyDescent="0.35">
      <c r="A206" s="23" t="s">
        <v>240</v>
      </c>
      <c r="B206" s="23" t="s">
        <v>38</v>
      </c>
      <c r="C206" s="23">
        <v>134</v>
      </c>
      <c r="D206" s="24" t="str" cm="1">
        <f t="array" ref="D206">_xlfn.IFS(CallData[[#This Row],[Duration]]&lt;=15,"Very short",CallData[[#This Row],[Duration]]&lt;=30,"Short",CallData[[#This Row],[Duration]]&lt;=60,"Medium",CallData[[#This Row],[Duration]]&gt;60,"Long")</f>
        <v>Long</v>
      </c>
      <c r="E206" s="24" t="s">
        <v>13</v>
      </c>
      <c r="F206" s="25">
        <v>44996</v>
      </c>
      <c r="G206" s="26">
        <v>180</v>
      </c>
      <c r="H206" s="26" t="str" cm="1">
        <f t="array" ref="H206">_xlfn.IFS(CallData[[#This Row],[Purchase Amount]]&lt;=50,"Low",CallData[[#This Row],[Purchase Amount]]&lt;=100,"Medium",CallData[[#This Row],[Purchase Amount]]&lt;=150,"High",CallData[[#This Row],[Purchase Amount]]&gt;150,"Very High")</f>
        <v>Very High</v>
      </c>
      <c r="I206" s="23">
        <v>3.1</v>
      </c>
      <c r="J206" s="23">
        <f>IF(MONTH('Call Data'!$F206)&lt;=6, YEAR('Call Data'!$F206), YEAR('Call Data'!$F206)+1)</f>
        <v>2023</v>
      </c>
      <c r="K206" s="23" t="str">
        <f>TEXT('Call Data'!$F206,"DDDD")</f>
        <v>Saturday</v>
      </c>
      <c r="L206" s="23" t="s">
        <v>25</v>
      </c>
      <c r="M206" s="23">
        <f>ROUND('Call Data'!$I206,0)</f>
        <v>3</v>
      </c>
    </row>
    <row r="207" spans="1:13" ht="14.25" customHeight="1" x14ac:dyDescent="0.35">
      <c r="A207" s="23" t="s">
        <v>241</v>
      </c>
      <c r="B207" s="23" t="s">
        <v>23</v>
      </c>
      <c r="C207" s="23">
        <v>73</v>
      </c>
      <c r="D207" s="24" t="str" cm="1">
        <f t="array" ref="D207">_xlfn.IFS(CallData[[#This Row],[Duration]]&lt;=15,"Very short",CallData[[#This Row],[Duration]]&lt;=30,"Short",CallData[[#This Row],[Duration]]&lt;=60,"Medium",CallData[[#This Row],[Duration]]&gt;60,"Long")</f>
        <v>Long</v>
      </c>
      <c r="E207" s="24" t="s">
        <v>31</v>
      </c>
      <c r="F207" s="25">
        <v>44997</v>
      </c>
      <c r="G207" s="26">
        <v>34</v>
      </c>
      <c r="H207" s="26" t="str" cm="1">
        <f t="array" ref="H207">_xlfn.IFS(CallData[[#This Row],[Purchase Amount]]&lt;=50,"Low",CallData[[#This Row],[Purchase Amount]]&lt;=100,"Medium",CallData[[#This Row],[Purchase Amount]]&lt;=150,"High",CallData[[#This Row],[Purchase Amount]]&gt;150,"Very High")</f>
        <v>Low</v>
      </c>
      <c r="I207" s="23">
        <v>4.8</v>
      </c>
      <c r="J207" s="23">
        <f>IF(MONTH('Call Data'!$F207)&lt;=6, YEAR('Call Data'!$F207), YEAR('Call Data'!$F207)+1)</f>
        <v>2023</v>
      </c>
      <c r="K207" s="23" t="str">
        <f>TEXT('Call Data'!$F207,"DDDD")</f>
        <v>Sunday</v>
      </c>
      <c r="L207" s="23" t="s">
        <v>14</v>
      </c>
      <c r="M207" s="23">
        <f>ROUND('Call Data'!$I207,0)</f>
        <v>5</v>
      </c>
    </row>
    <row r="208" spans="1:13" ht="14.25" customHeight="1" x14ac:dyDescent="0.35">
      <c r="A208" s="23" t="s">
        <v>242</v>
      </c>
      <c r="B208" s="23" t="s">
        <v>88</v>
      </c>
      <c r="C208" s="23">
        <v>6</v>
      </c>
      <c r="D208" s="24" t="str" cm="1">
        <f t="array" ref="D208">_xlfn.IFS(CallData[[#This Row],[Duration]]&lt;=15,"Very short",CallData[[#This Row],[Duration]]&lt;=30,"Short",CallData[[#This Row],[Duration]]&lt;=60,"Medium",CallData[[#This Row],[Duration]]&gt;60,"Long")</f>
        <v>Very short</v>
      </c>
      <c r="E208" s="24" t="s">
        <v>35</v>
      </c>
      <c r="F208" s="25">
        <v>44997</v>
      </c>
      <c r="G208" s="26">
        <v>29</v>
      </c>
      <c r="H208" s="26" t="str" cm="1">
        <f t="array" ref="H208">_xlfn.IFS(CallData[[#This Row],[Purchase Amount]]&lt;=50,"Low",CallData[[#This Row],[Purchase Amount]]&lt;=100,"Medium",CallData[[#This Row],[Purchase Amount]]&lt;=150,"High",CallData[[#This Row],[Purchase Amount]]&gt;150,"Very High")</f>
        <v>Low</v>
      </c>
      <c r="I208" s="23">
        <v>4.7</v>
      </c>
      <c r="J208" s="23">
        <f>IF(MONTH('Call Data'!$F208)&lt;=6, YEAR('Call Data'!$F208), YEAR('Call Data'!$F208)+1)</f>
        <v>2023</v>
      </c>
      <c r="K208" s="23" t="str">
        <f>TEXT('Call Data'!$F208,"DDDD")</f>
        <v>Sunday</v>
      </c>
      <c r="L208" s="23" t="s">
        <v>176</v>
      </c>
      <c r="M208" s="23">
        <f>ROUND('Call Data'!$I208,0)</f>
        <v>5</v>
      </c>
    </row>
    <row r="209" spans="1:13" ht="14.25" customHeight="1" x14ac:dyDescent="0.35">
      <c r="A209" s="23" t="s">
        <v>243</v>
      </c>
      <c r="B209" s="23" t="s">
        <v>58</v>
      </c>
      <c r="C209" s="23">
        <v>46</v>
      </c>
      <c r="D209" s="24" t="str" cm="1">
        <f t="array" ref="D209">_xlfn.IFS(CallData[[#This Row],[Duration]]&lt;=15,"Very short",CallData[[#This Row],[Duration]]&lt;=30,"Short",CallData[[#This Row],[Duration]]&lt;=60,"Medium",CallData[[#This Row],[Duration]]&gt;60,"Long")</f>
        <v>Medium</v>
      </c>
      <c r="E209" s="24" t="s">
        <v>19</v>
      </c>
      <c r="F209" s="25">
        <v>44997</v>
      </c>
      <c r="G209" s="26">
        <v>165</v>
      </c>
      <c r="H209" s="26" t="str" cm="1">
        <f t="array" ref="H209">_xlfn.IFS(CallData[[#This Row],[Purchase Amount]]&lt;=50,"Low",CallData[[#This Row],[Purchase Amount]]&lt;=100,"Medium",CallData[[#This Row],[Purchase Amount]]&lt;=150,"High",CallData[[#This Row],[Purchase Amount]]&gt;150,"Very High")</f>
        <v>Very High</v>
      </c>
      <c r="I209" s="23">
        <v>3.3</v>
      </c>
      <c r="J209" s="23">
        <f>IF(MONTH('Call Data'!$F209)&lt;=6, YEAR('Call Data'!$F209), YEAR('Call Data'!$F209)+1)</f>
        <v>2023</v>
      </c>
      <c r="K209" s="23" t="str">
        <f>TEXT('Call Data'!$F209,"DDDD")</f>
        <v>Sunday</v>
      </c>
      <c r="L209" s="23" t="s">
        <v>27</v>
      </c>
      <c r="M209" s="23">
        <f>ROUND('Call Data'!$I209,0)</f>
        <v>3</v>
      </c>
    </row>
    <row r="210" spans="1:13" ht="14.25" customHeight="1" x14ac:dyDescent="0.35">
      <c r="A210" s="23" t="s">
        <v>244</v>
      </c>
      <c r="B210" s="23" t="s">
        <v>88</v>
      </c>
      <c r="C210" s="23">
        <v>121</v>
      </c>
      <c r="D210" s="24" t="str" cm="1">
        <f t="array" ref="D210">_xlfn.IFS(CallData[[#This Row],[Duration]]&lt;=15,"Very short",CallData[[#This Row],[Duration]]&lt;=30,"Short",CallData[[#This Row],[Duration]]&lt;=60,"Medium",CallData[[#This Row],[Duration]]&gt;60,"Long")</f>
        <v>Long</v>
      </c>
      <c r="E210" s="24" t="s">
        <v>31</v>
      </c>
      <c r="F210" s="25">
        <v>44998</v>
      </c>
      <c r="G210" s="26">
        <v>32</v>
      </c>
      <c r="H210" s="26" t="str" cm="1">
        <f t="array" ref="H210">_xlfn.IFS(CallData[[#This Row],[Purchase Amount]]&lt;=50,"Low",CallData[[#This Row],[Purchase Amount]]&lt;=100,"Medium",CallData[[#This Row],[Purchase Amount]]&lt;=150,"High",CallData[[#This Row],[Purchase Amount]]&gt;150,"Very High")</f>
        <v>Low</v>
      </c>
      <c r="I210" s="23">
        <v>3.7</v>
      </c>
      <c r="J210" s="23">
        <f>IF(MONTH('Call Data'!$F210)&lt;=6, YEAR('Call Data'!$F210), YEAR('Call Data'!$F210)+1)</f>
        <v>2023</v>
      </c>
      <c r="K210" s="23" t="str">
        <f>TEXT('Call Data'!$F210,"DDDD")</f>
        <v>Monday</v>
      </c>
      <c r="L210" s="23" t="s">
        <v>25</v>
      </c>
      <c r="M210" s="23">
        <f>ROUND('Call Data'!$I210,0)</f>
        <v>4</v>
      </c>
    </row>
    <row r="211" spans="1:13" ht="14.25" customHeight="1" x14ac:dyDescent="0.35">
      <c r="A211" s="23" t="s">
        <v>245</v>
      </c>
      <c r="B211" s="23" t="s">
        <v>68</v>
      </c>
      <c r="C211" s="23">
        <v>61</v>
      </c>
      <c r="D211" s="24" t="str" cm="1">
        <f t="array" ref="D211">_xlfn.IFS(CallData[[#This Row],[Duration]]&lt;=15,"Very short",CallData[[#This Row],[Duration]]&lt;=30,"Short",CallData[[#This Row],[Duration]]&lt;=60,"Medium",CallData[[#This Row],[Duration]]&gt;60,"Long")</f>
        <v>Long</v>
      </c>
      <c r="E211" s="24" t="s">
        <v>24</v>
      </c>
      <c r="F211" s="25">
        <v>44998</v>
      </c>
      <c r="G211" s="26">
        <v>160</v>
      </c>
      <c r="H211" s="26" t="str" cm="1">
        <f t="array" ref="H211">_xlfn.IFS(CallData[[#This Row],[Purchase Amount]]&lt;=50,"Low",CallData[[#This Row],[Purchase Amount]]&lt;=100,"Medium",CallData[[#This Row],[Purchase Amount]]&lt;=150,"High",CallData[[#This Row],[Purchase Amount]]&gt;150,"Very High")</f>
        <v>Very High</v>
      </c>
      <c r="I211" s="23">
        <v>4.9000000000000004</v>
      </c>
      <c r="J211" s="23">
        <f>IF(MONTH('Call Data'!$F211)&lt;=6, YEAR('Call Data'!$F211), YEAR('Call Data'!$F211)+1)</f>
        <v>2023</v>
      </c>
      <c r="K211" s="23" t="str">
        <f>TEXT('Call Data'!$F211,"DDDD")</f>
        <v>Monday</v>
      </c>
      <c r="L211" s="23" t="s">
        <v>14</v>
      </c>
      <c r="M211" s="23">
        <f>ROUND('Call Data'!$I211,0)</f>
        <v>5</v>
      </c>
    </row>
    <row r="212" spans="1:13" ht="14.25" customHeight="1" x14ac:dyDescent="0.35">
      <c r="A212" s="23" t="s">
        <v>246</v>
      </c>
      <c r="B212" s="23" t="s">
        <v>38</v>
      </c>
      <c r="C212" s="23">
        <v>144</v>
      </c>
      <c r="D212" s="24" t="str" cm="1">
        <f t="array" ref="D212">_xlfn.IFS(CallData[[#This Row],[Duration]]&lt;=15,"Very short",CallData[[#This Row],[Duration]]&lt;=30,"Short",CallData[[#This Row],[Duration]]&lt;=60,"Medium",CallData[[#This Row],[Duration]]&gt;60,"Long")</f>
        <v>Long</v>
      </c>
      <c r="E212" s="24" t="s">
        <v>13</v>
      </c>
      <c r="F212" s="25">
        <v>44998</v>
      </c>
      <c r="G212" s="26">
        <v>140</v>
      </c>
      <c r="H212" s="26" t="str" cm="1">
        <f t="array" ref="H212">_xlfn.IFS(CallData[[#This Row],[Purchase Amount]]&lt;=50,"Low",CallData[[#This Row],[Purchase Amount]]&lt;=100,"Medium",CallData[[#This Row],[Purchase Amount]]&lt;=150,"High",CallData[[#This Row],[Purchase Amount]]&gt;150,"Very High")</f>
        <v>High</v>
      </c>
      <c r="I212" s="23">
        <v>3.5</v>
      </c>
      <c r="J212" s="23">
        <f>IF(MONTH('Call Data'!$F212)&lt;=6, YEAR('Call Data'!$F212), YEAR('Call Data'!$F212)+1)</f>
        <v>2023</v>
      </c>
      <c r="K212" s="23" t="str">
        <f>TEXT('Call Data'!$F212,"DDDD")</f>
        <v>Monday</v>
      </c>
      <c r="L212" s="23" t="s">
        <v>25</v>
      </c>
      <c r="M212" s="23">
        <f>ROUND('Call Data'!$I212,0)</f>
        <v>4</v>
      </c>
    </row>
    <row r="213" spans="1:13" ht="14.25" customHeight="1" x14ac:dyDescent="0.35">
      <c r="A213" s="23" t="s">
        <v>247</v>
      </c>
      <c r="B213" s="23" t="s">
        <v>58</v>
      </c>
      <c r="C213" s="23">
        <v>145</v>
      </c>
      <c r="D213" s="24" t="str" cm="1">
        <f t="array" ref="D213">_xlfn.IFS(CallData[[#This Row],[Duration]]&lt;=15,"Very short",CallData[[#This Row],[Duration]]&lt;=30,"Short",CallData[[#This Row],[Duration]]&lt;=60,"Medium",CallData[[#This Row],[Duration]]&gt;60,"Long")</f>
        <v>Long</v>
      </c>
      <c r="E213" s="24" t="s">
        <v>13</v>
      </c>
      <c r="F213" s="25">
        <v>44998</v>
      </c>
      <c r="G213" s="26">
        <v>136</v>
      </c>
      <c r="H213" s="26" t="str" cm="1">
        <f t="array" ref="H213">_xlfn.IFS(CallData[[#This Row],[Purchase Amount]]&lt;=50,"Low",CallData[[#This Row],[Purchase Amount]]&lt;=100,"Medium",CallData[[#This Row],[Purchase Amount]]&lt;=150,"High",CallData[[#This Row],[Purchase Amount]]&gt;150,"Very High")</f>
        <v>High</v>
      </c>
      <c r="I213" s="23">
        <v>4.4000000000000004</v>
      </c>
      <c r="J213" s="23">
        <f>IF(MONTH('Call Data'!$F213)&lt;=6, YEAR('Call Data'!$F213), YEAR('Call Data'!$F213)+1)</f>
        <v>2023</v>
      </c>
      <c r="K213" s="23" t="str">
        <f>TEXT('Call Data'!$F213,"DDDD")</f>
        <v>Monday</v>
      </c>
      <c r="L213" s="23" t="s">
        <v>25</v>
      </c>
      <c r="M213" s="23">
        <f>ROUND('Call Data'!$I213,0)</f>
        <v>4</v>
      </c>
    </row>
    <row r="214" spans="1:13" ht="14.25" customHeight="1" x14ac:dyDescent="0.35">
      <c r="A214" s="23" t="s">
        <v>248</v>
      </c>
      <c r="B214" s="23" t="s">
        <v>18</v>
      </c>
      <c r="C214" s="23">
        <v>85</v>
      </c>
      <c r="D214" s="24" t="str" cm="1">
        <f t="array" ref="D214">_xlfn.IFS(CallData[[#This Row],[Duration]]&lt;=15,"Very short",CallData[[#This Row],[Duration]]&lt;=30,"Short",CallData[[#This Row],[Duration]]&lt;=60,"Medium",CallData[[#This Row],[Duration]]&gt;60,"Long")</f>
        <v>Long</v>
      </c>
      <c r="E214" s="24" t="s">
        <v>35</v>
      </c>
      <c r="F214" s="25">
        <v>44998</v>
      </c>
      <c r="G214" s="26">
        <v>66</v>
      </c>
      <c r="H214" s="26" t="str" cm="1">
        <f t="array" ref="H214">_xlfn.IFS(CallData[[#This Row],[Purchase Amount]]&lt;=50,"Low",CallData[[#This Row],[Purchase Amount]]&lt;=100,"Medium",CallData[[#This Row],[Purchase Amount]]&lt;=150,"High",CallData[[#This Row],[Purchase Amount]]&gt;150,"Very High")</f>
        <v>Medium</v>
      </c>
      <c r="I214" s="23">
        <v>2.8</v>
      </c>
      <c r="J214" s="23">
        <f>IF(MONTH('Call Data'!$F214)&lt;=6, YEAR('Call Data'!$F214), YEAR('Call Data'!$F214)+1)</f>
        <v>2023</v>
      </c>
      <c r="K214" s="23" t="str">
        <f>TEXT('Call Data'!$F214,"DDDD")</f>
        <v>Monday</v>
      </c>
      <c r="L214" s="23" t="s">
        <v>14</v>
      </c>
      <c r="M214" s="23">
        <f>ROUND('Call Data'!$I214,0)</f>
        <v>3</v>
      </c>
    </row>
    <row r="215" spans="1:13" ht="14.25" customHeight="1" x14ac:dyDescent="0.35">
      <c r="A215" s="23" t="s">
        <v>249</v>
      </c>
      <c r="B215" s="23" t="s">
        <v>58</v>
      </c>
      <c r="C215" s="23">
        <v>13</v>
      </c>
      <c r="D215" s="24" t="str" cm="1">
        <f t="array" ref="D215">_xlfn.IFS(CallData[[#This Row],[Duration]]&lt;=15,"Very short",CallData[[#This Row],[Duration]]&lt;=30,"Short",CallData[[#This Row],[Duration]]&lt;=60,"Medium",CallData[[#This Row],[Duration]]&gt;60,"Long")</f>
        <v>Very short</v>
      </c>
      <c r="E215" s="24" t="s">
        <v>24</v>
      </c>
      <c r="F215" s="25">
        <v>44999</v>
      </c>
      <c r="G215" s="26">
        <v>63</v>
      </c>
      <c r="H215" s="26" t="str" cm="1">
        <f t="array" ref="H215">_xlfn.IFS(CallData[[#This Row],[Purchase Amount]]&lt;=50,"Low",CallData[[#This Row],[Purchase Amount]]&lt;=100,"Medium",CallData[[#This Row],[Purchase Amount]]&lt;=150,"High",CallData[[#This Row],[Purchase Amount]]&gt;150,"Very High")</f>
        <v>Medium</v>
      </c>
      <c r="I215" s="23">
        <v>4.0999999999999996</v>
      </c>
      <c r="J215" s="23">
        <f>IF(MONTH('Call Data'!$F215)&lt;=6, YEAR('Call Data'!$F215), YEAR('Call Data'!$F215)+1)</f>
        <v>2023</v>
      </c>
      <c r="K215" s="23" t="str">
        <f>TEXT('Call Data'!$F215,"DDDD")</f>
        <v>Tuesday</v>
      </c>
      <c r="L215" s="23" t="s">
        <v>47</v>
      </c>
      <c r="M215" s="23">
        <f>ROUND('Call Data'!$I215,0)</f>
        <v>4</v>
      </c>
    </row>
    <row r="216" spans="1:13" ht="14.25" customHeight="1" x14ac:dyDescent="0.35">
      <c r="A216" s="23" t="s">
        <v>250</v>
      </c>
      <c r="B216" s="23" t="s">
        <v>12</v>
      </c>
      <c r="C216" s="23">
        <v>142</v>
      </c>
      <c r="D216" s="24" t="str" cm="1">
        <f t="array" ref="D216">_xlfn.IFS(CallData[[#This Row],[Duration]]&lt;=15,"Very short",CallData[[#This Row],[Duration]]&lt;=30,"Short",CallData[[#This Row],[Duration]]&lt;=60,"Medium",CallData[[#This Row],[Duration]]&gt;60,"Long")</f>
        <v>Long</v>
      </c>
      <c r="E216" s="24" t="s">
        <v>31</v>
      </c>
      <c r="F216" s="25">
        <v>44999</v>
      </c>
      <c r="G216" s="26">
        <v>44</v>
      </c>
      <c r="H216" s="26" t="str" cm="1">
        <f t="array" ref="H216">_xlfn.IFS(CallData[[#This Row],[Purchase Amount]]&lt;=50,"Low",CallData[[#This Row],[Purchase Amount]]&lt;=100,"Medium",CallData[[#This Row],[Purchase Amount]]&lt;=150,"High",CallData[[#This Row],[Purchase Amount]]&gt;150,"Very High")</f>
        <v>Low</v>
      </c>
      <c r="I216" s="23">
        <v>3.5</v>
      </c>
      <c r="J216" s="23">
        <f>IF(MONTH('Call Data'!$F216)&lt;=6, YEAR('Call Data'!$F216), YEAR('Call Data'!$F216)+1)</f>
        <v>2023</v>
      </c>
      <c r="K216" s="23" t="str">
        <f>TEXT('Call Data'!$F216,"DDDD")</f>
        <v>Tuesday</v>
      </c>
      <c r="L216" s="23" t="s">
        <v>25</v>
      </c>
      <c r="M216" s="23">
        <f>ROUND('Call Data'!$I216,0)</f>
        <v>4</v>
      </c>
    </row>
    <row r="217" spans="1:13" ht="14.25" customHeight="1" x14ac:dyDescent="0.35">
      <c r="A217" s="23" t="s">
        <v>251</v>
      </c>
      <c r="B217" s="23" t="s">
        <v>38</v>
      </c>
      <c r="C217" s="23">
        <v>28</v>
      </c>
      <c r="D217" s="24" t="str" cm="1">
        <f t="array" ref="D217">_xlfn.IFS(CallData[[#This Row],[Duration]]&lt;=15,"Very short",CallData[[#This Row],[Duration]]&lt;=30,"Short",CallData[[#This Row],[Duration]]&lt;=60,"Medium",CallData[[#This Row],[Duration]]&gt;60,"Long")</f>
        <v>Short</v>
      </c>
      <c r="E217" s="24" t="s">
        <v>19</v>
      </c>
      <c r="F217" s="25">
        <v>44999</v>
      </c>
      <c r="G217" s="26">
        <v>78</v>
      </c>
      <c r="H217" s="26" t="str" cm="1">
        <f t="array" ref="H217">_xlfn.IFS(CallData[[#This Row],[Purchase Amount]]&lt;=50,"Low",CallData[[#This Row],[Purchase Amount]]&lt;=100,"Medium",CallData[[#This Row],[Purchase Amount]]&lt;=150,"High",CallData[[#This Row],[Purchase Amount]]&gt;150,"Very High")</f>
        <v>Medium</v>
      </c>
      <c r="I217" s="23">
        <v>3.8</v>
      </c>
      <c r="J217" s="23">
        <f>IF(MONTH('Call Data'!$F217)&lt;=6, YEAR('Call Data'!$F217), YEAR('Call Data'!$F217)+1)</f>
        <v>2023</v>
      </c>
      <c r="K217" s="23" t="str">
        <f>TEXT('Call Data'!$F217,"DDDD")</f>
        <v>Tuesday</v>
      </c>
      <c r="L217" s="23" t="s">
        <v>47</v>
      </c>
      <c r="M217" s="23">
        <f>ROUND('Call Data'!$I217,0)</f>
        <v>4</v>
      </c>
    </row>
    <row r="218" spans="1:13" ht="14.25" customHeight="1" x14ac:dyDescent="0.35">
      <c r="A218" s="23" t="s">
        <v>252</v>
      </c>
      <c r="B218" s="23" t="s">
        <v>38</v>
      </c>
      <c r="C218" s="23">
        <v>119</v>
      </c>
      <c r="D218" s="24" t="str" cm="1">
        <f t="array" ref="D218">_xlfn.IFS(CallData[[#This Row],[Duration]]&lt;=15,"Very short",CallData[[#This Row],[Duration]]&lt;=30,"Short",CallData[[#This Row],[Duration]]&lt;=60,"Medium",CallData[[#This Row],[Duration]]&gt;60,"Long")</f>
        <v>Long</v>
      </c>
      <c r="E218" s="24" t="s">
        <v>31</v>
      </c>
      <c r="F218" s="25">
        <v>44999</v>
      </c>
      <c r="G218" s="26">
        <v>20</v>
      </c>
      <c r="H218" s="26" t="str" cm="1">
        <f t="array" ref="H218">_xlfn.IFS(CallData[[#This Row],[Purchase Amount]]&lt;=50,"Low",CallData[[#This Row],[Purchase Amount]]&lt;=100,"Medium",CallData[[#This Row],[Purchase Amount]]&lt;=150,"High",CallData[[#This Row],[Purchase Amount]]&gt;150,"Very High")</f>
        <v>Low</v>
      </c>
      <c r="I218" s="23">
        <v>3.9</v>
      </c>
      <c r="J218" s="23">
        <f>IF(MONTH('Call Data'!$F218)&lt;=6, YEAR('Call Data'!$F218), YEAR('Call Data'!$F218)+1)</f>
        <v>2023</v>
      </c>
      <c r="K218" s="23" t="str">
        <f>TEXT('Call Data'!$F218,"DDDD")</f>
        <v>Tuesday</v>
      </c>
      <c r="L218" s="23" t="s">
        <v>14</v>
      </c>
      <c r="M218" s="23">
        <f>ROUND('Call Data'!$I218,0)</f>
        <v>4</v>
      </c>
    </row>
    <row r="219" spans="1:13" ht="14.25" customHeight="1" x14ac:dyDescent="0.35">
      <c r="A219" s="23" t="s">
        <v>253</v>
      </c>
      <c r="B219" s="23" t="s">
        <v>88</v>
      </c>
      <c r="C219" s="23">
        <v>65</v>
      </c>
      <c r="D219" s="24" t="str" cm="1">
        <f t="array" ref="D219">_xlfn.IFS(CallData[[#This Row],[Duration]]&lt;=15,"Very short",CallData[[#This Row],[Duration]]&lt;=30,"Short",CallData[[#This Row],[Duration]]&lt;=60,"Medium",CallData[[#This Row],[Duration]]&gt;60,"Long")</f>
        <v>Long</v>
      </c>
      <c r="E219" s="24" t="s">
        <v>35</v>
      </c>
      <c r="F219" s="25">
        <v>44999</v>
      </c>
      <c r="G219" s="26">
        <v>84</v>
      </c>
      <c r="H219" s="26" t="str" cm="1">
        <f t="array" ref="H219">_xlfn.IFS(CallData[[#This Row],[Purchase Amount]]&lt;=50,"Low",CallData[[#This Row],[Purchase Amount]]&lt;=100,"Medium",CallData[[#This Row],[Purchase Amount]]&lt;=150,"High",CallData[[#This Row],[Purchase Amount]]&gt;150,"Very High")</f>
        <v>Medium</v>
      </c>
      <c r="I219" s="23">
        <v>2.5</v>
      </c>
      <c r="J219" s="23">
        <f>IF(MONTH('Call Data'!$F219)&lt;=6, YEAR('Call Data'!$F219), YEAR('Call Data'!$F219)+1)</f>
        <v>2023</v>
      </c>
      <c r="K219" s="23" t="str">
        <f>TEXT('Call Data'!$F219,"DDDD")</f>
        <v>Tuesday</v>
      </c>
      <c r="L219" s="23" t="s">
        <v>14</v>
      </c>
      <c r="M219" s="23">
        <f>ROUND('Call Data'!$I219,0)</f>
        <v>3</v>
      </c>
    </row>
    <row r="220" spans="1:13" ht="14.25" customHeight="1" x14ac:dyDescent="0.35">
      <c r="A220" s="23" t="s">
        <v>254</v>
      </c>
      <c r="B220" s="23" t="s">
        <v>40</v>
      </c>
      <c r="C220" s="23">
        <v>68</v>
      </c>
      <c r="D220" s="24" t="str" cm="1">
        <f t="array" ref="D220">_xlfn.IFS(CallData[[#This Row],[Duration]]&lt;=15,"Very short",CallData[[#This Row],[Duration]]&lt;=30,"Short",CallData[[#This Row],[Duration]]&lt;=60,"Medium",CallData[[#This Row],[Duration]]&gt;60,"Long")</f>
        <v>Long</v>
      </c>
      <c r="E220" s="24" t="s">
        <v>35</v>
      </c>
      <c r="F220" s="25">
        <v>44999</v>
      </c>
      <c r="G220" s="26">
        <v>32</v>
      </c>
      <c r="H220" s="26" t="str" cm="1">
        <f t="array" ref="H220">_xlfn.IFS(CallData[[#This Row],[Purchase Amount]]&lt;=50,"Low",CallData[[#This Row],[Purchase Amount]]&lt;=100,"Medium",CallData[[#This Row],[Purchase Amount]]&lt;=150,"High",CallData[[#This Row],[Purchase Amount]]&gt;150,"Very High")</f>
        <v>Low</v>
      </c>
      <c r="I220" s="23">
        <v>4.9000000000000004</v>
      </c>
      <c r="J220" s="23">
        <f>IF(MONTH('Call Data'!$F220)&lt;=6, YEAR('Call Data'!$F220), YEAR('Call Data'!$F220)+1)</f>
        <v>2023</v>
      </c>
      <c r="K220" s="23" t="str">
        <f>TEXT('Call Data'!$F220,"DDDD")</f>
        <v>Tuesday</v>
      </c>
      <c r="L220" s="23" t="s">
        <v>14</v>
      </c>
      <c r="M220" s="23">
        <f>ROUND('Call Data'!$I220,0)</f>
        <v>5</v>
      </c>
    </row>
    <row r="221" spans="1:13" ht="14.25" customHeight="1" x14ac:dyDescent="0.35">
      <c r="A221" s="23" t="s">
        <v>255</v>
      </c>
      <c r="B221" s="23" t="s">
        <v>46</v>
      </c>
      <c r="C221" s="23">
        <v>72</v>
      </c>
      <c r="D221" s="24" t="str" cm="1">
        <f t="array" ref="D221">_xlfn.IFS(CallData[[#This Row],[Duration]]&lt;=15,"Very short",CallData[[#This Row],[Duration]]&lt;=30,"Short",CallData[[#This Row],[Duration]]&lt;=60,"Medium",CallData[[#This Row],[Duration]]&gt;60,"Long")</f>
        <v>Long</v>
      </c>
      <c r="E221" s="24" t="s">
        <v>19</v>
      </c>
      <c r="F221" s="25">
        <v>44999</v>
      </c>
      <c r="G221" s="26">
        <v>132</v>
      </c>
      <c r="H221" s="26" t="str" cm="1">
        <f t="array" ref="H221">_xlfn.IFS(CallData[[#This Row],[Purchase Amount]]&lt;=50,"Low",CallData[[#This Row],[Purchase Amount]]&lt;=100,"Medium",CallData[[#This Row],[Purchase Amount]]&lt;=150,"High",CallData[[#This Row],[Purchase Amount]]&gt;150,"Very High")</f>
        <v>High</v>
      </c>
      <c r="I221" s="23">
        <v>3.4</v>
      </c>
      <c r="J221" s="23">
        <f>IF(MONTH('Call Data'!$F221)&lt;=6, YEAR('Call Data'!$F221), YEAR('Call Data'!$F221)+1)</f>
        <v>2023</v>
      </c>
      <c r="K221" s="23" t="str">
        <f>TEXT('Call Data'!$F221,"DDDD")</f>
        <v>Tuesday</v>
      </c>
      <c r="L221" s="23" t="s">
        <v>14</v>
      </c>
      <c r="M221" s="23">
        <f>ROUND('Call Data'!$I221,0)</f>
        <v>3</v>
      </c>
    </row>
    <row r="222" spans="1:13" ht="14.25" customHeight="1" x14ac:dyDescent="0.35">
      <c r="A222" s="23" t="s">
        <v>256</v>
      </c>
      <c r="B222" s="23" t="s">
        <v>46</v>
      </c>
      <c r="C222" s="23">
        <v>63</v>
      </c>
      <c r="D222" s="24" t="str" cm="1">
        <f t="array" ref="D222">_xlfn.IFS(CallData[[#This Row],[Duration]]&lt;=15,"Very short",CallData[[#This Row],[Duration]]&lt;=30,"Short",CallData[[#This Row],[Duration]]&lt;=60,"Medium",CallData[[#This Row],[Duration]]&gt;60,"Long")</f>
        <v>Long</v>
      </c>
      <c r="E222" s="24" t="s">
        <v>13</v>
      </c>
      <c r="F222" s="25">
        <v>44999</v>
      </c>
      <c r="G222" s="26">
        <v>105</v>
      </c>
      <c r="H222" s="26" t="str" cm="1">
        <f t="array" ref="H222">_xlfn.IFS(CallData[[#This Row],[Purchase Amount]]&lt;=50,"Low",CallData[[#This Row],[Purchase Amount]]&lt;=100,"Medium",CallData[[#This Row],[Purchase Amount]]&lt;=150,"High",CallData[[#This Row],[Purchase Amount]]&gt;150,"Very High")</f>
        <v>High</v>
      </c>
      <c r="I222" s="23">
        <v>3.3</v>
      </c>
      <c r="J222" s="23">
        <f>IF(MONTH('Call Data'!$F222)&lt;=6, YEAR('Call Data'!$F222), YEAR('Call Data'!$F222)+1)</f>
        <v>2023</v>
      </c>
      <c r="K222" s="23" t="str">
        <f>TEXT('Call Data'!$F222,"DDDD")</f>
        <v>Tuesday</v>
      </c>
      <c r="L222" s="23" t="s">
        <v>14</v>
      </c>
      <c r="M222" s="23">
        <f>ROUND('Call Data'!$I222,0)</f>
        <v>3</v>
      </c>
    </row>
    <row r="223" spans="1:13" ht="14.25" customHeight="1" x14ac:dyDescent="0.35">
      <c r="A223" s="23" t="s">
        <v>257</v>
      </c>
      <c r="B223" s="23" t="s">
        <v>16</v>
      </c>
      <c r="C223" s="23">
        <v>139</v>
      </c>
      <c r="D223" s="24" t="str" cm="1">
        <f t="array" ref="D223">_xlfn.IFS(CallData[[#This Row],[Duration]]&lt;=15,"Very short",CallData[[#This Row],[Duration]]&lt;=30,"Short",CallData[[#This Row],[Duration]]&lt;=60,"Medium",CallData[[#This Row],[Duration]]&gt;60,"Long")</f>
        <v>Long</v>
      </c>
      <c r="E223" s="24" t="s">
        <v>31</v>
      </c>
      <c r="F223" s="25">
        <v>45000</v>
      </c>
      <c r="G223" s="26">
        <v>48</v>
      </c>
      <c r="H223" s="26" t="str" cm="1">
        <f t="array" ref="H223">_xlfn.IFS(CallData[[#This Row],[Purchase Amount]]&lt;=50,"Low",CallData[[#This Row],[Purchase Amount]]&lt;=100,"Medium",CallData[[#This Row],[Purchase Amount]]&lt;=150,"High",CallData[[#This Row],[Purchase Amount]]&gt;150,"Very High")</f>
        <v>Low</v>
      </c>
      <c r="I223" s="23">
        <v>4.7</v>
      </c>
      <c r="J223" s="23">
        <f>IF(MONTH('Call Data'!$F223)&lt;=6, YEAR('Call Data'!$F223), YEAR('Call Data'!$F223)+1)</f>
        <v>2023</v>
      </c>
      <c r="K223" s="23" t="str">
        <f>TEXT('Call Data'!$F223,"DDDD")</f>
        <v>Wednesday</v>
      </c>
      <c r="L223" s="23" t="s">
        <v>25</v>
      </c>
      <c r="M223" s="23">
        <f>ROUND('Call Data'!$I223,0)</f>
        <v>5</v>
      </c>
    </row>
    <row r="224" spans="1:13" ht="14.25" customHeight="1" x14ac:dyDescent="0.35">
      <c r="A224" s="23" t="s">
        <v>258</v>
      </c>
      <c r="B224" s="23" t="s">
        <v>38</v>
      </c>
      <c r="C224" s="23">
        <v>59</v>
      </c>
      <c r="D224" s="24" t="str" cm="1">
        <f t="array" ref="D224">_xlfn.IFS(CallData[[#This Row],[Duration]]&lt;=15,"Very short",CallData[[#This Row],[Duration]]&lt;=30,"Short",CallData[[#This Row],[Duration]]&lt;=60,"Medium",CallData[[#This Row],[Duration]]&gt;60,"Long")</f>
        <v>Medium</v>
      </c>
      <c r="E224" s="24" t="s">
        <v>31</v>
      </c>
      <c r="F224" s="25">
        <v>45000</v>
      </c>
      <c r="G224" s="26">
        <v>64</v>
      </c>
      <c r="H224" s="26" t="str" cm="1">
        <f t="array" ref="H224">_xlfn.IFS(CallData[[#This Row],[Purchase Amount]]&lt;=50,"Low",CallData[[#This Row],[Purchase Amount]]&lt;=100,"Medium",CallData[[#This Row],[Purchase Amount]]&lt;=150,"High",CallData[[#This Row],[Purchase Amount]]&gt;150,"Very High")</f>
        <v>Medium</v>
      </c>
      <c r="I224" s="23">
        <v>4</v>
      </c>
      <c r="J224" s="23">
        <f>IF(MONTH('Call Data'!$F224)&lt;=6, YEAR('Call Data'!$F224), YEAR('Call Data'!$F224)+1)</f>
        <v>2023</v>
      </c>
      <c r="K224" s="23" t="str">
        <f>TEXT('Call Data'!$F224,"DDDD")</f>
        <v>Wednesday</v>
      </c>
      <c r="L224" s="23" t="s">
        <v>27</v>
      </c>
      <c r="M224" s="23">
        <f>ROUND('Call Data'!$I224,0)</f>
        <v>4</v>
      </c>
    </row>
    <row r="225" spans="1:13" ht="14.25" customHeight="1" x14ac:dyDescent="0.35">
      <c r="A225" s="23" t="s">
        <v>259</v>
      </c>
      <c r="B225" s="23" t="s">
        <v>50</v>
      </c>
      <c r="C225" s="23">
        <v>138</v>
      </c>
      <c r="D225" s="24" t="str" cm="1">
        <f t="array" ref="D225">_xlfn.IFS(CallData[[#This Row],[Duration]]&lt;=15,"Very short",CallData[[#This Row],[Duration]]&lt;=30,"Short",CallData[[#This Row],[Duration]]&lt;=60,"Medium",CallData[[#This Row],[Duration]]&gt;60,"Long")</f>
        <v>Long</v>
      </c>
      <c r="E225" s="24" t="s">
        <v>13</v>
      </c>
      <c r="F225" s="25">
        <v>45000</v>
      </c>
      <c r="G225" s="26">
        <v>44</v>
      </c>
      <c r="H225" s="26" t="str" cm="1">
        <f t="array" ref="H225">_xlfn.IFS(CallData[[#This Row],[Purchase Amount]]&lt;=50,"Low",CallData[[#This Row],[Purchase Amount]]&lt;=100,"Medium",CallData[[#This Row],[Purchase Amount]]&lt;=150,"High",CallData[[#This Row],[Purchase Amount]]&gt;150,"Very High")</f>
        <v>Low</v>
      </c>
      <c r="I225" s="23">
        <v>3.8</v>
      </c>
      <c r="J225" s="23">
        <f>IF(MONTH('Call Data'!$F225)&lt;=6, YEAR('Call Data'!$F225), YEAR('Call Data'!$F225)+1)</f>
        <v>2023</v>
      </c>
      <c r="K225" s="23" t="str">
        <f>TEXT('Call Data'!$F225,"DDDD")</f>
        <v>Wednesday</v>
      </c>
      <c r="L225" s="23" t="s">
        <v>25</v>
      </c>
      <c r="M225" s="23">
        <f>ROUND('Call Data'!$I225,0)</f>
        <v>4</v>
      </c>
    </row>
    <row r="226" spans="1:13" ht="14.25" customHeight="1" x14ac:dyDescent="0.35">
      <c r="A226" s="23" t="s">
        <v>260</v>
      </c>
      <c r="B226" s="23" t="s">
        <v>16</v>
      </c>
      <c r="C226" s="23">
        <v>47</v>
      </c>
      <c r="D226" s="24" t="str" cm="1">
        <f t="array" ref="D226">_xlfn.IFS(CallData[[#This Row],[Duration]]&lt;=15,"Very short",CallData[[#This Row],[Duration]]&lt;=30,"Short",CallData[[#This Row],[Duration]]&lt;=60,"Medium",CallData[[#This Row],[Duration]]&gt;60,"Long")</f>
        <v>Medium</v>
      </c>
      <c r="E226" s="24" t="s">
        <v>19</v>
      </c>
      <c r="F226" s="25">
        <v>45000</v>
      </c>
      <c r="G226" s="26">
        <v>120</v>
      </c>
      <c r="H226" s="26" t="str" cm="1">
        <f t="array" ref="H226">_xlfn.IFS(CallData[[#This Row],[Purchase Amount]]&lt;=50,"Low",CallData[[#This Row],[Purchase Amount]]&lt;=100,"Medium",CallData[[#This Row],[Purchase Amount]]&lt;=150,"High",CallData[[#This Row],[Purchase Amount]]&gt;150,"Very High")</f>
        <v>High</v>
      </c>
      <c r="I226" s="23">
        <v>3.1</v>
      </c>
      <c r="J226" s="23">
        <f>IF(MONTH('Call Data'!$F226)&lt;=6, YEAR('Call Data'!$F226), YEAR('Call Data'!$F226)+1)</f>
        <v>2023</v>
      </c>
      <c r="K226" s="23" t="str">
        <f>TEXT('Call Data'!$F226,"DDDD")</f>
        <v>Wednesday</v>
      </c>
      <c r="L226" s="23" t="s">
        <v>27</v>
      </c>
      <c r="M226" s="23">
        <f>ROUND('Call Data'!$I226,0)</f>
        <v>3</v>
      </c>
    </row>
    <row r="227" spans="1:13" ht="14.25" customHeight="1" x14ac:dyDescent="0.35">
      <c r="A227" s="23" t="s">
        <v>261</v>
      </c>
      <c r="B227" s="23" t="s">
        <v>50</v>
      </c>
      <c r="C227" s="23">
        <v>74</v>
      </c>
      <c r="D227" s="24" t="str" cm="1">
        <f t="array" ref="D227">_xlfn.IFS(CallData[[#This Row],[Duration]]&lt;=15,"Very short",CallData[[#This Row],[Duration]]&lt;=30,"Short",CallData[[#This Row],[Duration]]&lt;=60,"Medium",CallData[[#This Row],[Duration]]&gt;60,"Long")</f>
        <v>Long</v>
      </c>
      <c r="E227" s="24" t="s">
        <v>19</v>
      </c>
      <c r="F227" s="25">
        <v>45000</v>
      </c>
      <c r="G227" s="26">
        <v>144</v>
      </c>
      <c r="H227" s="26" t="str" cm="1">
        <f t="array" ref="H227">_xlfn.IFS(CallData[[#This Row],[Purchase Amount]]&lt;=50,"Low",CallData[[#This Row],[Purchase Amount]]&lt;=100,"Medium",CallData[[#This Row],[Purchase Amount]]&lt;=150,"High",CallData[[#This Row],[Purchase Amount]]&gt;150,"Very High")</f>
        <v>High</v>
      </c>
      <c r="I227" s="23">
        <v>4.8</v>
      </c>
      <c r="J227" s="23">
        <f>IF(MONTH('Call Data'!$F227)&lt;=6, YEAR('Call Data'!$F227), YEAR('Call Data'!$F227)+1)</f>
        <v>2023</v>
      </c>
      <c r="K227" s="23" t="str">
        <f>TEXT('Call Data'!$F227,"DDDD")</f>
        <v>Wednesday</v>
      </c>
      <c r="L227" s="23" t="s">
        <v>14</v>
      </c>
      <c r="M227" s="23">
        <f>ROUND('Call Data'!$I227,0)</f>
        <v>5</v>
      </c>
    </row>
    <row r="228" spans="1:13" ht="14.25" customHeight="1" x14ac:dyDescent="0.35">
      <c r="A228" s="23" t="s">
        <v>262</v>
      </c>
      <c r="B228" s="23" t="s">
        <v>46</v>
      </c>
      <c r="C228" s="23">
        <v>65</v>
      </c>
      <c r="D228" s="24" t="str" cm="1">
        <f t="array" ref="D228">_xlfn.IFS(CallData[[#This Row],[Duration]]&lt;=15,"Very short",CallData[[#This Row],[Duration]]&lt;=30,"Short",CallData[[#This Row],[Duration]]&lt;=60,"Medium",CallData[[#This Row],[Duration]]&gt;60,"Long")</f>
        <v>Long</v>
      </c>
      <c r="E228" s="24" t="s">
        <v>19</v>
      </c>
      <c r="F228" s="25">
        <v>45000</v>
      </c>
      <c r="G228" s="26">
        <v>87</v>
      </c>
      <c r="H228" s="26" t="str" cm="1">
        <f t="array" ref="H228">_xlfn.IFS(CallData[[#This Row],[Purchase Amount]]&lt;=50,"Low",CallData[[#This Row],[Purchase Amount]]&lt;=100,"Medium",CallData[[#This Row],[Purchase Amount]]&lt;=150,"High",CallData[[#This Row],[Purchase Amount]]&gt;150,"Very High")</f>
        <v>Medium</v>
      </c>
      <c r="I228" s="23">
        <v>2.7</v>
      </c>
      <c r="J228" s="23">
        <f>IF(MONTH('Call Data'!$F228)&lt;=6, YEAR('Call Data'!$F228), YEAR('Call Data'!$F228)+1)</f>
        <v>2023</v>
      </c>
      <c r="K228" s="23" t="str">
        <f>TEXT('Call Data'!$F228,"DDDD")</f>
        <v>Wednesday</v>
      </c>
      <c r="L228" s="23" t="s">
        <v>14</v>
      </c>
      <c r="M228" s="23">
        <f>ROUND('Call Data'!$I228,0)</f>
        <v>3</v>
      </c>
    </row>
    <row r="229" spans="1:13" ht="14.25" customHeight="1" x14ac:dyDescent="0.35">
      <c r="A229" s="23" t="s">
        <v>263</v>
      </c>
      <c r="B229" s="23" t="s">
        <v>23</v>
      </c>
      <c r="C229" s="23">
        <v>123</v>
      </c>
      <c r="D229" s="24" t="str" cm="1">
        <f t="array" ref="D229">_xlfn.IFS(CallData[[#This Row],[Duration]]&lt;=15,"Very short",CallData[[#This Row],[Duration]]&lt;=30,"Short",CallData[[#This Row],[Duration]]&lt;=60,"Medium",CallData[[#This Row],[Duration]]&gt;60,"Long")</f>
        <v>Long</v>
      </c>
      <c r="E229" s="24" t="s">
        <v>35</v>
      </c>
      <c r="F229" s="25">
        <v>45000</v>
      </c>
      <c r="G229" s="26">
        <v>36</v>
      </c>
      <c r="H229" s="26" t="str" cm="1">
        <f t="array" ref="H229">_xlfn.IFS(CallData[[#This Row],[Purchase Amount]]&lt;=50,"Low",CallData[[#This Row],[Purchase Amount]]&lt;=100,"Medium",CallData[[#This Row],[Purchase Amount]]&lt;=150,"High",CallData[[#This Row],[Purchase Amount]]&gt;150,"Very High")</f>
        <v>Low</v>
      </c>
      <c r="I229" s="23">
        <v>3.6</v>
      </c>
      <c r="J229" s="23">
        <f>IF(MONTH('Call Data'!$F229)&lt;=6, YEAR('Call Data'!$F229), YEAR('Call Data'!$F229)+1)</f>
        <v>2023</v>
      </c>
      <c r="K229" s="23" t="str">
        <f>TEXT('Call Data'!$F229,"DDDD")</f>
        <v>Wednesday</v>
      </c>
      <c r="L229" s="23" t="s">
        <v>25</v>
      </c>
      <c r="M229" s="23">
        <f>ROUND('Call Data'!$I229,0)</f>
        <v>4</v>
      </c>
    </row>
    <row r="230" spans="1:13" ht="14.25" customHeight="1" x14ac:dyDescent="0.35">
      <c r="A230" s="23" t="s">
        <v>264</v>
      </c>
      <c r="B230" s="23" t="s">
        <v>46</v>
      </c>
      <c r="C230" s="23">
        <v>90</v>
      </c>
      <c r="D230" s="24" t="str" cm="1">
        <f t="array" ref="D230">_xlfn.IFS(CallData[[#This Row],[Duration]]&lt;=15,"Very short",CallData[[#This Row],[Duration]]&lt;=30,"Short",CallData[[#This Row],[Duration]]&lt;=60,"Medium",CallData[[#This Row],[Duration]]&gt;60,"Long")</f>
        <v>Long</v>
      </c>
      <c r="E230" s="24" t="s">
        <v>31</v>
      </c>
      <c r="F230" s="25">
        <v>45001</v>
      </c>
      <c r="G230" s="26">
        <v>72</v>
      </c>
      <c r="H230" s="26" t="str" cm="1">
        <f t="array" ref="H230">_xlfn.IFS(CallData[[#This Row],[Purchase Amount]]&lt;=50,"Low",CallData[[#This Row],[Purchase Amount]]&lt;=100,"Medium",CallData[[#This Row],[Purchase Amount]]&lt;=150,"High",CallData[[#This Row],[Purchase Amount]]&gt;150,"Very High")</f>
        <v>Medium</v>
      </c>
      <c r="I230" s="23">
        <v>4.7</v>
      </c>
      <c r="J230" s="23">
        <f>IF(MONTH('Call Data'!$F230)&lt;=6, YEAR('Call Data'!$F230), YEAR('Call Data'!$F230)+1)</f>
        <v>2023</v>
      </c>
      <c r="K230" s="23" t="str">
        <f>TEXT('Call Data'!$F230,"DDDD")</f>
        <v>Thursday</v>
      </c>
      <c r="L230" s="23" t="s">
        <v>14</v>
      </c>
      <c r="M230" s="23">
        <f>ROUND('Call Data'!$I230,0)</f>
        <v>5</v>
      </c>
    </row>
    <row r="231" spans="1:13" ht="14.25" customHeight="1" x14ac:dyDescent="0.35">
      <c r="A231" s="23" t="s">
        <v>265</v>
      </c>
      <c r="B231" s="23" t="s">
        <v>68</v>
      </c>
      <c r="C231" s="23">
        <v>127</v>
      </c>
      <c r="D231" s="24" t="str" cm="1">
        <f t="array" ref="D231">_xlfn.IFS(CallData[[#This Row],[Duration]]&lt;=15,"Very short",CallData[[#This Row],[Duration]]&lt;=30,"Short",CallData[[#This Row],[Duration]]&lt;=60,"Medium",CallData[[#This Row],[Duration]]&gt;60,"Long")</f>
        <v>Long</v>
      </c>
      <c r="E231" s="24" t="s">
        <v>13</v>
      </c>
      <c r="F231" s="25">
        <v>45001</v>
      </c>
      <c r="G231" s="26">
        <v>150</v>
      </c>
      <c r="H231" s="26" t="str" cm="1">
        <f t="array" ref="H231">_xlfn.IFS(CallData[[#This Row],[Purchase Amount]]&lt;=50,"Low",CallData[[#This Row],[Purchase Amount]]&lt;=100,"Medium",CallData[[#This Row],[Purchase Amount]]&lt;=150,"High",CallData[[#This Row],[Purchase Amount]]&gt;150,"Very High")</f>
        <v>High</v>
      </c>
      <c r="I231" s="23">
        <v>4.4000000000000004</v>
      </c>
      <c r="J231" s="23">
        <f>IF(MONTH('Call Data'!$F231)&lt;=6, YEAR('Call Data'!$F231), YEAR('Call Data'!$F231)+1)</f>
        <v>2023</v>
      </c>
      <c r="K231" s="23" t="str">
        <f>TEXT('Call Data'!$F231,"DDDD")</f>
        <v>Thursday</v>
      </c>
      <c r="L231" s="23" t="s">
        <v>25</v>
      </c>
      <c r="M231" s="23">
        <f>ROUND('Call Data'!$I231,0)</f>
        <v>4</v>
      </c>
    </row>
    <row r="232" spans="1:13" ht="14.25" customHeight="1" x14ac:dyDescent="0.35">
      <c r="A232" s="23" t="s">
        <v>266</v>
      </c>
      <c r="B232" s="23" t="s">
        <v>21</v>
      </c>
      <c r="C232" s="23">
        <v>60</v>
      </c>
      <c r="D232" s="24" t="str" cm="1">
        <f t="array" ref="D232">_xlfn.IFS(CallData[[#This Row],[Duration]]&lt;=15,"Very short",CallData[[#This Row],[Duration]]&lt;=30,"Short",CallData[[#This Row],[Duration]]&lt;=60,"Medium",CallData[[#This Row],[Duration]]&gt;60,"Long")</f>
        <v>Medium</v>
      </c>
      <c r="E232" s="24" t="s">
        <v>19</v>
      </c>
      <c r="F232" s="25">
        <v>45001</v>
      </c>
      <c r="G232" s="26">
        <v>68</v>
      </c>
      <c r="H232" s="26" t="str" cm="1">
        <f t="array" ref="H232">_xlfn.IFS(CallData[[#This Row],[Purchase Amount]]&lt;=50,"Low",CallData[[#This Row],[Purchase Amount]]&lt;=100,"Medium",CallData[[#This Row],[Purchase Amount]]&lt;=150,"High",CallData[[#This Row],[Purchase Amount]]&gt;150,"Very High")</f>
        <v>Medium</v>
      </c>
      <c r="I232" s="23">
        <v>4.3</v>
      </c>
      <c r="J232" s="23">
        <f>IF(MONTH('Call Data'!$F232)&lt;=6, YEAR('Call Data'!$F232), YEAR('Call Data'!$F232)+1)</f>
        <v>2023</v>
      </c>
      <c r="K232" s="23" t="str">
        <f>TEXT('Call Data'!$F232,"DDDD")</f>
        <v>Thursday</v>
      </c>
      <c r="L232" s="23" t="s">
        <v>27</v>
      </c>
      <c r="M232" s="23">
        <f>ROUND('Call Data'!$I232,0)</f>
        <v>4</v>
      </c>
    </row>
    <row r="233" spans="1:13" ht="14.25" customHeight="1" x14ac:dyDescent="0.35">
      <c r="A233" s="23" t="s">
        <v>267</v>
      </c>
      <c r="B233" s="23" t="s">
        <v>16</v>
      </c>
      <c r="C233" s="23">
        <v>94</v>
      </c>
      <c r="D233" s="24" t="str" cm="1">
        <f t="array" ref="D233">_xlfn.IFS(CallData[[#This Row],[Duration]]&lt;=15,"Very short",CallData[[#This Row],[Duration]]&lt;=30,"Short",CallData[[#This Row],[Duration]]&lt;=60,"Medium",CallData[[#This Row],[Duration]]&gt;60,"Long")</f>
        <v>Long</v>
      </c>
      <c r="E233" s="24" t="s">
        <v>13</v>
      </c>
      <c r="F233" s="25">
        <v>45001</v>
      </c>
      <c r="G233" s="26">
        <v>99</v>
      </c>
      <c r="H233" s="26" t="str" cm="1">
        <f t="array" ref="H233">_xlfn.IFS(CallData[[#This Row],[Purchase Amount]]&lt;=50,"Low",CallData[[#This Row],[Purchase Amount]]&lt;=100,"Medium",CallData[[#This Row],[Purchase Amount]]&lt;=150,"High",CallData[[#This Row],[Purchase Amount]]&gt;150,"Very High")</f>
        <v>Medium</v>
      </c>
      <c r="I233" s="23">
        <v>4.9000000000000004</v>
      </c>
      <c r="J233" s="23">
        <f>IF(MONTH('Call Data'!$F233)&lt;=6, YEAR('Call Data'!$F233), YEAR('Call Data'!$F233)+1)</f>
        <v>2023</v>
      </c>
      <c r="K233" s="23" t="str">
        <f>TEXT('Call Data'!$F233,"DDDD")</f>
        <v>Thursday</v>
      </c>
      <c r="L233" s="23" t="s">
        <v>14</v>
      </c>
      <c r="M233" s="23">
        <f>ROUND('Call Data'!$I233,0)</f>
        <v>5</v>
      </c>
    </row>
    <row r="234" spans="1:13" ht="14.25" customHeight="1" x14ac:dyDescent="0.35">
      <c r="A234" s="23" t="s">
        <v>268</v>
      </c>
      <c r="B234" s="23" t="s">
        <v>23</v>
      </c>
      <c r="C234" s="23">
        <v>54</v>
      </c>
      <c r="D234" s="24" t="str" cm="1">
        <f t="array" ref="D234">_xlfn.IFS(CallData[[#This Row],[Duration]]&lt;=15,"Very short",CallData[[#This Row],[Duration]]&lt;=30,"Short",CallData[[#This Row],[Duration]]&lt;=60,"Medium",CallData[[#This Row],[Duration]]&gt;60,"Long")</f>
        <v>Medium</v>
      </c>
      <c r="E234" s="24" t="s">
        <v>19</v>
      </c>
      <c r="F234" s="25">
        <v>45001</v>
      </c>
      <c r="G234" s="26">
        <v>26</v>
      </c>
      <c r="H234" s="26" t="str" cm="1">
        <f t="array" ref="H234">_xlfn.IFS(CallData[[#This Row],[Purchase Amount]]&lt;=50,"Low",CallData[[#This Row],[Purchase Amount]]&lt;=100,"Medium",CallData[[#This Row],[Purchase Amount]]&lt;=150,"High",CallData[[#This Row],[Purchase Amount]]&gt;150,"Very High")</f>
        <v>Low</v>
      </c>
      <c r="I234" s="23">
        <v>4.8</v>
      </c>
      <c r="J234" s="23">
        <f>IF(MONTH('Call Data'!$F234)&lt;=6, YEAR('Call Data'!$F234), YEAR('Call Data'!$F234)+1)</f>
        <v>2023</v>
      </c>
      <c r="K234" s="23" t="str">
        <f>TEXT('Call Data'!$F234,"DDDD")</f>
        <v>Thursday</v>
      </c>
      <c r="L234" s="23" t="s">
        <v>27</v>
      </c>
      <c r="M234" s="23">
        <f>ROUND('Call Data'!$I234,0)</f>
        <v>5</v>
      </c>
    </row>
    <row r="235" spans="1:13" ht="14.25" customHeight="1" x14ac:dyDescent="0.35">
      <c r="A235" s="23" t="s">
        <v>269</v>
      </c>
      <c r="B235" s="23" t="s">
        <v>46</v>
      </c>
      <c r="C235" s="23">
        <v>104</v>
      </c>
      <c r="D235" s="24" t="str" cm="1">
        <f t="array" ref="D235">_xlfn.IFS(CallData[[#This Row],[Duration]]&lt;=15,"Very short",CallData[[#This Row],[Duration]]&lt;=30,"Short",CallData[[#This Row],[Duration]]&lt;=60,"Medium",CallData[[#This Row],[Duration]]&gt;60,"Long")</f>
        <v>Long</v>
      </c>
      <c r="E235" s="24" t="s">
        <v>19</v>
      </c>
      <c r="F235" s="25">
        <v>45001</v>
      </c>
      <c r="G235" s="26">
        <v>88</v>
      </c>
      <c r="H235" s="26" t="str" cm="1">
        <f t="array" ref="H235">_xlfn.IFS(CallData[[#This Row],[Purchase Amount]]&lt;=50,"Low",CallData[[#This Row],[Purchase Amount]]&lt;=100,"Medium",CallData[[#This Row],[Purchase Amount]]&lt;=150,"High",CallData[[#This Row],[Purchase Amount]]&gt;150,"Very High")</f>
        <v>Medium</v>
      </c>
      <c r="I235" s="23">
        <v>3.2</v>
      </c>
      <c r="J235" s="23">
        <f>IF(MONTH('Call Data'!$F235)&lt;=6, YEAR('Call Data'!$F235), YEAR('Call Data'!$F235)+1)</f>
        <v>2023</v>
      </c>
      <c r="K235" s="23" t="str">
        <f>TEXT('Call Data'!$F235,"DDDD")</f>
        <v>Thursday</v>
      </c>
      <c r="L235" s="23" t="s">
        <v>14</v>
      </c>
      <c r="M235" s="23">
        <f>ROUND('Call Data'!$I235,0)</f>
        <v>3</v>
      </c>
    </row>
    <row r="236" spans="1:13" ht="14.25" customHeight="1" x14ac:dyDescent="0.35">
      <c r="A236" s="23" t="s">
        <v>270</v>
      </c>
      <c r="B236" s="23" t="s">
        <v>29</v>
      </c>
      <c r="C236" s="23">
        <v>100</v>
      </c>
      <c r="D236" s="24" t="str" cm="1">
        <f t="array" ref="D236">_xlfn.IFS(CallData[[#This Row],[Duration]]&lt;=15,"Very short",CallData[[#This Row],[Duration]]&lt;=30,"Short",CallData[[#This Row],[Duration]]&lt;=60,"Medium",CallData[[#This Row],[Duration]]&gt;60,"Long")</f>
        <v>Long</v>
      </c>
      <c r="E236" s="24" t="s">
        <v>19</v>
      </c>
      <c r="F236" s="25">
        <v>45001</v>
      </c>
      <c r="G236" s="26">
        <v>124</v>
      </c>
      <c r="H236" s="26" t="str" cm="1">
        <f t="array" ref="H236">_xlfn.IFS(CallData[[#This Row],[Purchase Amount]]&lt;=50,"Low",CallData[[#This Row],[Purchase Amount]]&lt;=100,"Medium",CallData[[#This Row],[Purchase Amount]]&lt;=150,"High",CallData[[#This Row],[Purchase Amount]]&gt;150,"Very High")</f>
        <v>High</v>
      </c>
      <c r="I236" s="23">
        <v>3.4</v>
      </c>
      <c r="J236" s="23">
        <f>IF(MONTH('Call Data'!$F236)&lt;=6, YEAR('Call Data'!$F236), YEAR('Call Data'!$F236)+1)</f>
        <v>2023</v>
      </c>
      <c r="K236" s="23" t="str">
        <f>TEXT('Call Data'!$F236,"DDDD")</f>
        <v>Thursday</v>
      </c>
      <c r="L236" s="23" t="s">
        <v>14</v>
      </c>
      <c r="M236" s="23">
        <f>ROUND('Call Data'!$I236,0)</f>
        <v>3</v>
      </c>
    </row>
    <row r="237" spans="1:13" ht="14.25" customHeight="1" x14ac:dyDescent="0.35">
      <c r="A237" s="23" t="s">
        <v>271</v>
      </c>
      <c r="B237" s="23" t="s">
        <v>50</v>
      </c>
      <c r="C237" s="23">
        <v>84</v>
      </c>
      <c r="D237" s="24" t="str" cm="1">
        <f t="array" ref="D237">_xlfn.IFS(CallData[[#This Row],[Duration]]&lt;=15,"Very short",CallData[[#This Row],[Duration]]&lt;=30,"Short",CallData[[#This Row],[Duration]]&lt;=60,"Medium",CallData[[#This Row],[Duration]]&gt;60,"Long")</f>
        <v>Long</v>
      </c>
      <c r="E237" s="24" t="s">
        <v>19</v>
      </c>
      <c r="F237" s="25">
        <v>45001</v>
      </c>
      <c r="G237" s="26">
        <v>72</v>
      </c>
      <c r="H237" s="26" t="str" cm="1">
        <f t="array" ref="H237">_xlfn.IFS(CallData[[#This Row],[Purchase Amount]]&lt;=50,"Low",CallData[[#This Row],[Purchase Amount]]&lt;=100,"Medium",CallData[[#This Row],[Purchase Amount]]&lt;=150,"High",CallData[[#This Row],[Purchase Amount]]&gt;150,"Very High")</f>
        <v>Medium</v>
      </c>
      <c r="I237" s="23">
        <v>3.5</v>
      </c>
      <c r="J237" s="23">
        <f>IF(MONTH('Call Data'!$F237)&lt;=6, YEAR('Call Data'!$F237), YEAR('Call Data'!$F237)+1)</f>
        <v>2023</v>
      </c>
      <c r="K237" s="23" t="str">
        <f>TEXT('Call Data'!$F237,"DDDD")</f>
        <v>Thursday</v>
      </c>
      <c r="L237" s="23" t="s">
        <v>14</v>
      </c>
      <c r="M237" s="23">
        <f>ROUND('Call Data'!$I237,0)</f>
        <v>4</v>
      </c>
    </row>
    <row r="238" spans="1:13" ht="14.25" customHeight="1" x14ac:dyDescent="0.35">
      <c r="A238" s="23" t="s">
        <v>272</v>
      </c>
      <c r="B238" s="23" t="s">
        <v>12</v>
      </c>
      <c r="C238" s="23">
        <v>92</v>
      </c>
      <c r="D238" s="24" t="str" cm="1">
        <f t="array" ref="D238">_xlfn.IFS(CallData[[#This Row],[Duration]]&lt;=15,"Very short",CallData[[#This Row],[Duration]]&lt;=30,"Short",CallData[[#This Row],[Duration]]&lt;=60,"Medium",CallData[[#This Row],[Duration]]&gt;60,"Long")</f>
        <v>Long</v>
      </c>
      <c r="E238" s="24" t="s">
        <v>24</v>
      </c>
      <c r="F238" s="25">
        <v>45002</v>
      </c>
      <c r="G238" s="26">
        <v>125</v>
      </c>
      <c r="H238" s="26" t="str" cm="1">
        <f t="array" ref="H238">_xlfn.IFS(CallData[[#This Row],[Purchase Amount]]&lt;=50,"Low",CallData[[#This Row],[Purchase Amount]]&lt;=100,"Medium",CallData[[#This Row],[Purchase Amount]]&lt;=150,"High",CallData[[#This Row],[Purchase Amount]]&gt;150,"Very High")</f>
        <v>High</v>
      </c>
      <c r="I238" s="23">
        <v>4.9000000000000004</v>
      </c>
      <c r="J238" s="23">
        <f>IF(MONTH('Call Data'!$F238)&lt;=6, YEAR('Call Data'!$F238), YEAR('Call Data'!$F238)+1)</f>
        <v>2023</v>
      </c>
      <c r="K238" s="23" t="str">
        <f>TEXT('Call Data'!$F238,"DDDD")</f>
        <v>Friday</v>
      </c>
      <c r="L238" s="23" t="s">
        <v>14</v>
      </c>
      <c r="M238" s="23">
        <f>ROUND('Call Data'!$I238,0)</f>
        <v>5</v>
      </c>
    </row>
    <row r="239" spans="1:13" ht="14.25" customHeight="1" x14ac:dyDescent="0.35">
      <c r="A239" s="23" t="s">
        <v>273</v>
      </c>
      <c r="B239" s="23" t="s">
        <v>34</v>
      </c>
      <c r="C239" s="23">
        <v>64</v>
      </c>
      <c r="D239" s="24" t="str" cm="1">
        <f t="array" ref="D239">_xlfn.IFS(CallData[[#This Row],[Duration]]&lt;=15,"Very short",CallData[[#This Row],[Duration]]&lt;=30,"Short",CallData[[#This Row],[Duration]]&lt;=60,"Medium",CallData[[#This Row],[Duration]]&gt;60,"Long")</f>
        <v>Long</v>
      </c>
      <c r="E239" s="24" t="s">
        <v>13</v>
      </c>
      <c r="F239" s="25">
        <v>45002</v>
      </c>
      <c r="G239" s="26">
        <v>22</v>
      </c>
      <c r="H239" s="26" t="str" cm="1">
        <f t="array" ref="H239">_xlfn.IFS(CallData[[#This Row],[Purchase Amount]]&lt;=50,"Low",CallData[[#This Row],[Purchase Amount]]&lt;=100,"Medium",CallData[[#This Row],[Purchase Amount]]&lt;=150,"High",CallData[[#This Row],[Purchase Amount]]&gt;150,"Very High")</f>
        <v>Low</v>
      </c>
      <c r="I239" s="23">
        <v>4.0999999999999996</v>
      </c>
      <c r="J239" s="23">
        <f>IF(MONTH('Call Data'!$F239)&lt;=6, YEAR('Call Data'!$F239), YEAR('Call Data'!$F239)+1)</f>
        <v>2023</v>
      </c>
      <c r="K239" s="23" t="str">
        <f>TEXT('Call Data'!$F239,"DDDD")</f>
        <v>Friday</v>
      </c>
      <c r="L239" s="23" t="s">
        <v>14</v>
      </c>
      <c r="M239" s="23">
        <f>ROUND('Call Data'!$I239,0)</f>
        <v>4</v>
      </c>
    </row>
    <row r="240" spans="1:13" ht="14.25" customHeight="1" x14ac:dyDescent="0.35">
      <c r="A240" s="23" t="s">
        <v>274</v>
      </c>
      <c r="B240" s="23" t="s">
        <v>18</v>
      </c>
      <c r="C240" s="23">
        <v>89</v>
      </c>
      <c r="D240" s="24" t="str" cm="1">
        <f t="array" ref="D240">_xlfn.IFS(CallData[[#This Row],[Duration]]&lt;=15,"Very short",CallData[[#This Row],[Duration]]&lt;=30,"Short",CallData[[#This Row],[Duration]]&lt;=60,"Medium",CallData[[#This Row],[Duration]]&gt;60,"Long")</f>
        <v>Long</v>
      </c>
      <c r="E240" s="24" t="s">
        <v>31</v>
      </c>
      <c r="F240" s="25">
        <v>45003</v>
      </c>
      <c r="G240" s="26">
        <v>70</v>
      </c>
      <c r="H240" s="26" t="str" cm="1">
        <f t="array" ref="H240">_xlfn.IFS(CallData[[#This Row],[Purchase Amount]]&lt;=50,"Low",CallData[[#This Row],[Purchase Amount]]&lt;=100,"Medium",CallData[[#This Row],[Purchase Amount]]&lt;=150,"High",CallData[[#This Row],[Purchase Amount]]&gt;150,"Very High")</f>
        <v>Medium</v>
      </c>
      <c r="I240" s="23">
        <v>4.9000000000000004</v>
      </c>
      <c r="J240" s="23">
        <f>IF(MONTH('Call Data'!$F240)&lt;=6, YEAR('Call Data'!$F240), YEAR('Call Data'!$F240)+1)</f>
        <v>2023</v>
      </c>
      <c r="K240" s="23" t="str">
        <f>TEXT('Call Data'!$F240,"DDDD")</f>
        <v>Saturday</v>
      </c>
      <c r="L240" s="23" t="s">
        <v>14</v>
      </c>
      <c r="M240" s="23">
        <f>ROUND('Call Data'!$I240,0)</f>
        <v>5</v>
      </c>
    </row>
    <row r="241" spans="1:13" ht="14.25" customHeight="1" x14ac:dyDescent="0.35">
      <c r="A241" s="23" t="s">
        <v>275</v>
      </c>
      <c r="B241" s="23" t="s">
        <v>55</v>
      </c>
      <c r="C241" s="23">
        <v>40</v>
      </c>
      <c r="D241" s="24" t="str" cm="1">
        <f t="array" ref="D241">_xlfn.IFS(CallData[[#This Row],[Duration]]&lt;=15,"Very short",CallData[[#This Row],[Duration]]&lt;=30,"Short",CallData[[#This Row],[Duration]]&lt;=60,"Medium",CallData[[#This Row],[Duration]]&gt;60,"Long")</f>
        <v>Medium</v>
      </c>
      <c r="E241" s="24" t="s">
        <v>19</v>
      </c>
      <c r="F241" s="25">
        <v>45003</v>
      </c>
      <c r="G241" s="26">
        <v>24</v>
      </c>
      <c r="H241" s="26" t="str" cm="1">
        <f t="array" ref="H241">_xlfn.IFS(CallData[[#This Row],[Purchase Amount]]&lt;=50,"Low",CallData[[#This Row],[Purchase Amount]]&lt;=100,"Medium",CallData[[#This Row],[Purchase Amount]]&lt;=150,"High",CallData[[#This Row],[Purchase Amount]]&gt;150,"Very High")</f>
        <v>Low</v>
      </c>
      <c r="I241" s="23">
        <v>4.3</v>
      </c>
      <c r="J241" s="23">
        <f>IF(MONTH('Call Data'!$F241)&lt;=6, YEAR('Call Data'!$F241), YEAR('Call Data'!$F241)+1)</f>
        <v>2023</v>
      </c>
      <c r="K241" s="23" t="str">
        <f>TEXT('Call Data'!$F241,"DDDD")</f>
        <v>Saturday</v>
      </c>
      <c r="L241" s="23" t="s">
        <v>27</v>
      </c>
      <c r="M241" s="23">
        <f>ROUND('Call Data'!$I241,0)</f>
        <v>4</v>
      </c>
    </row>
    <row r="242" spans="1:13" ht="14.25" customHeight="1" x14ac:dyDescent="0.35">
      <c r="A242" s="23" t="s">
        <v>276</v>
      </c>
      <c r="B242" s="23" t="s">
        <v>38</v>
      </c>
      <c r="C242" s="23">
        <v>75</v>
      </c>
      <c r="D242" s="24" t="str" cm="1">
        <f t="array" ref="D242">_xlfn.IFS(CallData[[#This Row],[Duration]]&lt;=15,"Very short",CallData[[#This Row],[Duration]]&lt;=30,"Short",CallData[[#This Row],[Duration]]&lt;=60,"Medium",CallData[[#This Row],[Duration]]&gt;60,"Long")</f>
        <v>Long</v>
      </c>
      <c r="E242" s="24" t="s">
        <v>35</v>
      </c>
      <c r="F242" s="25">
        <v>45003</v>
      </c>
      <c r="G242" s="26">
        <v>32</v>
      </c>
      <c r="H242" s="26" t="str" cm="1">
        <f t="array" ref="H242">_xlfn.IFS(CallData[[#This Row],[Purchase Amount]]&lt;=50,"Low",CallData[[#This Row],[Purchase Amount]]&lt;=100,"Medium",CallData[[#This Row],[Purchase Amount]]&lt;=150,"High",CallData[[#This Row],[Purchase Amount]]&gt;150,"Very High")</f>
        <v>Low</v>
      </c>
      <c r="I242" s="23">
        <v>4.0999999999999996</v>
      </c>
      <c r="J242" s="23">
        <f>IF(MONTH('Call Data'!$F242)&lt;=6, YEAR('Call Data'!$F242), YEAR('Call Data'!$F242)+1)</f>
        <v>2023</v>
      </c>
      <c r="K242" s="23" t="str">
        <f>TEXT('Call Data'!$F242,"DDDD")</f>
        <v>Saturday</v>
      </c>
      <c r="L242" s="23" t="s">
        <v>14</v>
      </c>
      <c r="M242" s="23">
        <f>ROUND('Call Data'!$I242,0)</f>
        <v>4</v>
      </c>
    </row>
    <row r="243" spans="1:13" ht="14.25" customHeight="1" x14ac:dyDescent="0.35">
      <c r="A243" s="23" t="s">
        <v>277</v>
      </c>
      <c r="B243" s="23" t="s">
        <v>68</v>
      </c>
      <c r="C243" s="23">
        <v>106</v>
      </c>
      <c r="D243" s="24" t="str" cm="1">
        <f t="array" ref="D243">_xlfn.IFS(CallData[[#This Row],[Duration]]&lt;=15,"Very short",CallData[[#This Row],[Duration]]&lt;=30,"Short",CallData[[#This Row],[Duration]]&lt;=60,"Medium",CallData[[#This Row],[Duration]]&gt;60,"Long")</f>
        <v>Long</v>
      </c>
      <c r="E243" s="24" t="s">
        <v>24</v>
      </c>
      <c r="F243" s="25">
        <v>45003</v>
      </c>
      <c r="G243" s="26">
        <v>112</v>
      </c>
      <c r="H243" s="26" t="str" cm="1">
        <f t="array" ref="H243">_xlfn.IFS(CallData[[#This Row],[Purchase Amount]]&lt;=50,"Low",CallData[[#This Row],[Purchase Amount]]&lt;=100,"Medium",CallData[[#This Row],[Purchase Amount]]&lt;=150,"High",CallData[[#This Row],[Purchase Amount]]&gt;150,"Very High")</f>
        <v>High</v>
      </c>
      <c r="I243" s="23">
        <v>4.4000000000000004</v>
      </c>
      <c r="J243" s="23">
        <f>IF(MONTH('Call Data'!$F243)&lt;=6, YEAR('Call Data'!$F243), YEAR('Call Data'!$F243)+1)</f>
        <v>2023</v>
      </c>
      <c r="K243" s="23" t="str">
        <f>TEXT('Call Data'!$F243,"DDDD")</f>
        <v>Saturday</v>
      </c>
      <c r="L243" s="23" t="s">
        <v>14</v>
      </c>
      <c r="M243" s="23">
        <f>ROUND('Call Data'!$I243,0)</f>
        <v>4</v>
      </c>
    </row>
    <row r="244" spans="1:13" ht="14.25" customHeight="1" x14ac:dyDescent="0.35">
      <c r="A244" s="23" t="s">
        <v>278</v>
      </c>
      <c r="B244" s="23" t="s">
        <v>34</v>
      </c>
      <c r="C244" s="23">
        <v>58</v>
      </c>
      <c r="D244" s="24" t="str" cm="1">
        <f t="array" ref="D244">_xlfn.IFS(CallData[[#This Row],[Duration]]&lt;=15,"Very short",CallData[[#This Row],[Duration]]&lt;=30,"Short",CallData[[#This Row],[Duration]]&lt;=60,"Medium",CallData[[#This Row],[Duration]]&gt;60,"Long")</f>
        <v>Medium</v>
      </c>
      <c r="E244" s="24" t="s">
        <v>19</v>
      </c>
      <c r="F244" s="25">
        <v>45004</v>
      </c>
      <c r="G244" s="26">
        <v>43</v>
      </c>
      <c r="H244" s="26" t="str" cm="1">
        <f t="array" ref="H244">_xlfn.IFS(CallData[[#This Row],[Purchase Amount]]&lt;=50,"Low",CallData[[#This Row],[Purchase Amount]]&lt;=100,"Medium",CallData[[#This Row],[Purchase Amount]]&lt;=150,"High",CallData[[#This Row],[Purchase Amount]]&gt;150,"Very High")</f>
        <v>Low</v>
      </c>
      <c r="I244" s="23">
        <v>4.5</v>
      </c>
      <c r="J244" s="23">
        <f>IF(MONTH('Call Data'!$F244)&lt;=6, YEAR('Call Data'!$F244), YEAR('Call Data'!$F244)+1)</f>
        <v>2023</v>
      </c>
      <c r="K244" s="23" t="str">
        <f>TEXT('Call Data'!$F244,"DDDD")</f>
        <v>Sunday</v>
      </c>
      <c r="L244" s="23" t="s">
        <v>27</v>
      </c>
      <c r="M244" s="23">
        <f>ROUND('Call Data'!$I244,0)</f>
        <v>5</v>
      </c>
    </row>
    <row r="245" spans="1:13" ht="14.25" customHeight="1" x14ac:dyDescent="0.35">
      <c r="A245" s="23" t="s">
        <v>279</v>
      </c>
      <c r="B245" s="23" t="s">
        <v>50</v>
      </c>
      <c r="C245" s="23">
        <v>84</v>
      </c>
      <c r="D245" s="24" t="str" cm="1">
        <f t="array" ref="D245">_xlfn.IFS(CallData[[#This Row],[Duration]]&lt;=15,"Very short",CallData[[#This Row],[Duration]]&lt;=30,"Short",CallData[[#This Row],[Duration]]&lt;=60,"Medium",CallData[[#This Row],[Duration]]&gt;60,"Long")</f>
        <v>Long</v>
      </c>
      <c r="E245" s="24" t="s">
        <v>24</v>
      </c>
      <c r="F245" s="25">
        <v>45004</v>
      </c>
      <c r="G245" s="26">
        <v>22</v>
      </c>
      <c r="H245" s="26" t="str" cm="1">
        <f t="array" ref="H245">_xlfn.IFS(CallData[[#This Row],[Purchase Amount]]&lt;=50,"Low",CallData[[#This Row],[Purchase Amount]]&lt;=100,"Medium",CallData[[#This Row],[Purchase Amount]]&lt;=150,"High",CallData[[#This Row],[Purchase Amount]]&gt;150,"Very High")</f>
        <v>Low</v>
      </c>
      <c r="I245" s="23">
        <v>3.5</v>
      </c>
      <c r="J245" s="23">
        <f>IF(MONTH('Call Data'!$F245)&lt;=6, YEAR('Call Data'!$F245), YEAR('Call Data'!$F245)+1)</f>
        <v>2023</v>
      </c>
      <c r="K245" s="23" t="str">
        <f>TEXT('Call Data'!$F245,"DDDD")</f>
        <v>Sunday</v>
      </c>
      <c r="L245" s="23" t="s">
        <v>14</v>
      </c>
      <c r="M245" s="23">
        <f>ROUND('Call Data'!$I245,0)</f>
        <v>4</v>
      </c>
    </row>
    <row r="246" spans="1:13" ht="14.25" customHeight="1" x14ac:dyDescent="0.35">
      <c r="A246" s="23" t="s">
        <v>280</v>
      </c>
      <c r="B246" s="23" t="s">
        <v>46</v>
      </c>
      <c r="C246" s="23">
        <v>140</v>
      </c>
      <c r="D246" s="24" t="str" cm="1">
        <f t="array" ref="D246">_xlfn.IFS(CallData[[#This Row],[Duration]]&lt;=15,"Very short",CallData[[#This Row],[Duration]]&lt;=30,"Short",CallData[[#This Row],[Duration]]&lt;=60,"Medium",CallData[[#This Row],[Duration]]&gt;60,"Long")</f>
        <v>Long</v>
      </c>
      <c r="E246" s="24" t="s">
        <v>24</v>
      </c>
      <c r="F246" s="25">
        <v>45004</v>
      </c>
      <c r="G246" s="26">
        <v>93</v>
      </c>
      <c r="H246" s="26" t="str" cm="1">
        <f t="array" ref="H246">_xlfn.IFS(CallData[[#This Row],[Purchase Amount]]&lt;=50,"Low",CallData[[#This Row],[Purchase Amount]]&lt;=100,"Medium",CallData[[#This Row],[Purchase Amount]]&lt;=150,"High",CallData[[#This Row],[Purchase Amount]]&gt;150,"Very High")</f>
        <v>Medium</v>
      </c>
      <c r="I246" s="23">
        <v>4.4000000000000004</v>
      </c>
      <c r="J246" s="23">
        <f>IF(MONTH('Call Data'!$F246)&lt;=6, YEAR('Call Data'!$F246), YEAR('Call Data'!$F246)+1)</f>
        <v>2023</v>
      </c>
      <c r="K246" s="23" t="str">
        <f>TEXT('Call Data'!$F246,"DDDD")</f>
        <v>Sunday</v>
      </c>
      <c r="L246" s="23" t="s">
        <v>25</v>
      </c>
      <c r="M246" s="23">
        <f>ROUND('Call Data'!$I246,0)</f>
        <v>4</v>
      </c>
    </row>
    <row r="247" spans="1:13" ht="14.25" customHeight="1" x14ac:dyDescent="0.35">
      <c r="A247" s="23" t="s">
        <v>281</v>
      </c>
      <c r="B247" s="23" t="s">
        <v>34</v>
      </c>
      <c r="C247" s="23">
        <v>67</v>
      </c>
      <c r="D247" s="24" t="str" cm="1">
        <f t="array" ref="D247">_xlfn.IFS(CallData[[#This Row],[Duration]]&lt;=15,"Very short",CallData[[#This Row],[Duration]]&lt;=30,"Short",CallData[[#This Row],[Duration]]&lt;=60,"Medium",CallData[[#This Row],[Duration]]&gt;60,"Long")</f>
        <v>Long</v>
      </c>
      <c r="E247" s="24" t="s">
        <v>24</v>
      </c>
      <c r="F247" s="25">
        <v>45004</v>
      </c>
      <c r="G247" s="26">
        <v>45</v>
      </c>
      <c r="H247" s="26" t="str" cm="1">
        <f t="array" ref="H247">_xlfn.IFS(CallData[[#This Row],[Purchase Amount]]&lt;=50,"Low",CallData[[#This Row],[Purchase Amount]]&lt;=100,"Medium",CallData[[#This Row],[Purchase Amount]]&lt;=150,"High",CallData[[#This Row],[Purchase Amount]]&gt;150,"Very High")</f>
        <v>Low</v>
      </c>
      <c r="I247" s="23">
        <v>3.5</v>
      </c>
      <c r="J247" s="23">
        <f>IF(MONTH('Call Data'!$F247)&lt;=6, YEAR('Call Data'!$F247), YEAR('Call Data'!$F247)+1)</f>
        <v>2023</v>
      </c>
      <c r="K247" s="23" t="str">
        <f>TEXT('Call Data'!$F247,"DDDD")</f>
        <v>Sunday</v>
      </c>
      <c r="L247" s="23" t="s">
        <v>14</v>
      </c>
      <c r="M247" s="23">
        <f>ROUND('Call Data'!$I247,0)</f>
        <v>4</v>
      </c>
    </row>
    <row r="248" spans="1:13" ht="14.25" customHeight="1" x14ac:dyDescent="0.35">
      <c r="A248" s="23" t="s">
        <v>282</v>
      </c>
      <c r="B248" s="23" t="s">
        <v>16</v>
      </c>
      <c r="C248" s="23">
        <v>126</v>
      </c>
      <c r="D248" s="24" t="str" cm="1">
        <f t="array" ref="D248">_xlfn.IFS(CallData[[#This Row],[Duration]]&lt;=15,"Very short",CallData[[#This Row],[Duration]]&lt;=30,"Short",CallData[[#This Row],[Duration]]&lt;=60,"Medium",CallData[[#This Row],[Duration]]&gt;60,"Long")</f>
        <v>Long</v>
      </c>
      <c r="E248" s="24" t="s">
        <v>24</v>
      </c>
      <c r="F248" s="25">
        <v>45005</v>
      </c>
      <c r="G248" s="26">
        <v>96</v>
      </c>
      <c r="H248" s="26" t="str" cm="1">
        <f t="array" ref="H248">_xlfn.IFS(CallData[[#This Row],[Purchase Amount]]&lt;=50,"Low",CallData[[#This Row],[Purchase Amount]]&lt;=100,"Medium",CallData[[#This Row],[Purchase Amount]]&lt;=150,"High",CallData[[#This Row],[Purchase Amount]]&gt;150,"Very High")</f>
        <v>Medium</v>
      </c>
      <c r="I248" s="23">
        <v>3.8</v>
      </c>
      <c r="J248" s="23">
        <f>IF(MONTH('Call Data'!$F248)&lt;=6, YEAR('Call Data'!$F248), YEAR('Call Data'!$F248)+1)</f>
        <v>2023</v>
      </c>
      <c r="K248" s="23" t="str">
        <f>TEXT('Call Data'!$F248,"DDDD")</f>
        <v>Monday</v>
      </c>
      <c r="L248" s="23" t="s">
        <v>25</v>
      </c>
      <c r="M248" s="23">
        <f>ROUND('Call Data'!$I248,0)</f>
        <v>4</v>
      </c>
    </row>
    <row r="249" spans="1:13" ht="14.25" customHeight="1" x14ac:dyDescent="0.35">
      <c r="A249" s="23" t="s">
        <v>283</v>
      </c>
      <c r="B249" s="23" t="s">
        <v>16</v>
      </c>
      <c r="C249" s="23">
        <v>89</v>
      </c>
      <c r="D249" s="24" t="str" cm="1">
        <f t="array" ref="D249">_xlfn.IFS(CallData[[#This Row],[Duration]]&lt;=15,"Very short",CallData[[#This Row],[Duration]]&lt;=30,"Short",CallData[[#This Row],[Duration]]&lt;=60,"Medium",CallData[[#This Row],[Duration]]&gt;60,"Long")</f>
        <v>Long</v>
      </c>
      <c r="E249" s="24" t="s">
        <v>19</v>
      </c>
      <c r="F249" s="25">
        <v>45005</v>
      </c>
      <c r="G249" s="26">
        <v>96</v>
      </c>
      <c r="H249" s="26" t="str" cm="1">
        <f t="array" ref="H249">_xlfn.IFS(CallData[[#This Row],[Purchase Amount]]&lt;=50,"Low",CallData[[#This Row],[Purchase Amount]]&lt;=100,"Medium",CallData[[#This Row],[Purchase Amount]]&lt;=150,"High",CallData[[#This Row],[Purchase Amount]]&gt;150,"Very High")</f>
        <v>Medium</v>
      </c>
      <c r="I249" s="23">
        <v>3.3</v>
      </c>
      <c r="J249" s="23">
        <f>IF(MONTH('Call Data'!$F249)&lt;=6, YEAR('Call Data'!$F249), YEAR('Call Data'!$F249)+1)</f>
        <v>2023</v>
      </c>
      <c r="K249" s="23" t="str">
        <f>TEXT('Call Data'!$F249,"DDDD")</f>
        <v>Monday</v>
      </c>
      <c r="L249" s="23" t="s">
        <v>14</v>
      </c>
      <c r="M249" s="23">
        <f>ROUND('Call Data'!$I249,0)</f>
        <v>3</v>
      </c>
    </row>
    <row r="250" spans="1:13" ht="14.25" customHeight="1" x14ac:dyDescent="0.35">
      <c r="A250" s="23" t="s">
        <v>284</v>
      </c>
      <c r="B250" s="23" t="s">
        <v>18</v>
      </c>
      <c r="C250" s="23">
        <v>56</v>
      </c>
      <c r="D250" s="24" t="str" cm="1">
        <f t="array" ref="D250">_xlfn.IFS(CallData[[#This Row],[Duration]]&lt;=15,"Very short",CallData[[#This Row],[Duration]]&lt;=30,"Short",CallData[[#This Row],[Duration]]&lt;=60,"Medium",CallData[[#This Row],[Duration]]&gt;60,"Long")</f>
        <v>Medium</v>
      </c>
      <c r="E250" s="24" t="s">
        <v>13</v>
      </c>
      <c r="F250" s="25">
        <v>45005</v>
      </c>
      <c r="G250" s="26">
        <v>31</v>
      </c>
      <c r="H250" s="26" t="str" cm="1">
        <f t="array" ref="H250">_xlfn.IFS(CallData[[#This Row],[Purchase Amount]]&lt;=50,"Low",CallData[[#This Row],[Purchase Amount]]&lt;=100,"Medium",CallData[[#This Row],[Purchase Amount]]&lt;=150,"High",CallData[[#This Row],[Purchase Amount]]&gt;150,"Very High")</f>
        <v>Low</v>
      </c>
      <c r="I250" s="23">
        <v>4.4000000000000004</v>
      </c>
      <c r="J250" s="23">
        <f>IF(MONTH('Call Data'!$F250)&lt;=6, YEAR('Call Data'!$F250), YEAR('Call Data'!$F250)+1)</f>
        <v>2023</v>
      </c>
      <c r="K250" s="23" t="str">
        <f>TEXT('Call Data'!$F250,"DDDD")</f>
        <v>Monday</v>
      </c>
      <c r="L250" s="23" t="s">
        <v>27</v>
      </c>
      <c r="M250" s="23">
        <f>ROUND('Call Data'!$I250,0)</f>
        <v>4</v>
      </c>
    </row>
    <row r="251" spans="1:13" ht="14.25" customHeight="1" x14ac:dyDescent="0.35">
      <c r="A251" s="23" t="s">
        <v>285</v>
      </c>
      <c r="B251" s="23" t="s">
        <v>23</v>
      </c>
      <c r="C251" s="23">
        <v>48</v>
      </c>
      <c r="D251" s="24" t="str" cm="1">
        <f t="array" ref="D251">_xlfn.IFS(CallData[[#This Row],[Duration]]&lt;=15,"Very short",CallData[[#This Row],[Duration]]&lt;=30,"Short",CallData[[#This Row],[Duration]]&lt;=60,"Medium",CallData[[#This Row],[Duration]]&gt;60,"Long")</f>
        <v>Medium</v>
      </c>
      <c r="E251" s="24" t="s">
        <v>19</v>
      </c>
      <c r="F251" s="25">
        <v>45005</v>
      </c>
      <c r="G251" s="26">
        <v>200</v>
      </c>
      <c r="H251" s="26" t="str" cm="1">
        <f t="array" ref="H251">_xlfn.IFS(CallData[[#This Row],[Purchase Amount]]&lt;=50,"Low",CallData[[#This Row],[Purchase Amount]]&lt;=100,"Medium",CallData[[#This Row],[Purchase Amount]]&lt;=150,"High",CallData[[#This Row],[Purchase Amount]]&gt;150,"Very High")</f>
        <v>Very High</v>
      </c>
      <c r="I251" s="23">
        <v>3.9</v>
      </c>
      <c r="J251" s="23">
        <f>IF(MONTH('Call Data'!$F251)&lt;=6, YEAR('Call Data'!$F251), YEAR('Call Data'!$F251)+1)</f>
        <v>2023</v>
      </c>
      <c r="K251" s="23" t="str">
        <f>TEXT('Call Data'!$F251,"DDDD")</f>
        <v>Monday</v>
      </c>
      <c r="L251" s="23" t="s">
        <v>27</v>
      </c>
      <c r="M251" s="23">
        <f>ROUND('Call Data'!$I251,0)</f>
        <v>4</v>
      </c>
    </row>
    <row r="252" spans="1:13" ht="14.25" customHeight="1" x14ac:dyDescent="0.35">
      <c r="A252" s="23" t="s">
        <v>286</v>
      </c>
      <c r="B252" s="23" t="s">
        <v>16</v>
      </c>
      <c r="C252" s="23">
        <v>55</v>
      </c>
      <c r="D252" s="24" t="str" cm="1">
        <f t="array" ref="D252">_xlfn.IFS(CallData[[#This Row],[Duration]]&lt;=15,"Very short",CallData[[#This Row],[Duration]]&lt;=30,"Short",CallData[[#This Row],[Duration]]&lt;=60,"Medium",CallData[[#This Row],[Duration]]&gt;60,"Long")</f>
        <v>Medium</v>
      </c>
      <c r="E252" s="24" t="s">
        <v>13</v>
      </c>
      <c r="F252" s="25">
        <v>45005</v>
      </c>
      <c r="G252" s="26">
        <v>99</v>
      </c>
      <c r="H252" s="26" t="str" cm="1">
        <f t="array" ref="H252">_xlfn.IFS(CallData[[#This Row],[Purchase Amount]]&lt;=50,"Low",CallData[[#This Row],[Purchase Amount]]&lt;=100,"Medium",CallData[[#This Row],[Purchase Amount]]&lt;=150,"High",CallData[[#This Row],[Purchase Amount]]&gt;150,"Very High")</f>
        <v>Medium</v>
      </c>
      <c r="I252" s="23">
        <v>2.7</v>
      </c>
      <c r="J252" s="23">
        <f>IF(MONTH('Call Data'!$F252)&lt;=6, YEAR('Call Data'!$F252), YEAR('Call Data'!$F252)+1)</f>
        <v>2023</v>
      </c>
      <c r="K252" s="23" t="str">
        <f>TEXT('Call Data'!$F252,"DDDD")</f>
        <v>Monday</v>
      </c>
      <c r="L252" s="23" t="s">
        <v>27</v>
      </c>
      <c r="M252" s="23">
        <f>ROUND('Call Data'!$I252,0)</f>
        <v>3</v>
      </c>
    </row>
    <row r="253" spans="1:13" ht="14.25" customHeight="1" x14ac:dyDescent="0.35">
      <c r="A253" s="23" t="s">
        <v>287</v>
      </c>
      <c r="B253" s="23" t="s">
        <v>21</v>
      </c>
      <c r="C253" s="23">
        <v>88</v>
      </c>
      <c r="D253" s="24" t="str" cm="1">
        <f t="array" ref="D253">_xlfn.IFS(CallData[[#This Row],[Duration]]&lt;=15,"Very short",CallData[[#This Row],[Duration]]&lt;=30,"Short",CallData[[#This Row],[Duration]]&lt;=60,"Medium",CallData[[#This Row],[Duration]]&gt;60,"Long")</f>
        <v>Long</v>
      </c>
      <c r="E253" s="24" t="s">
        <v>35</v>
      </c>
      <c r="F253" s="25">
        <v>45005</v>
      </c>
      <c r="G253" s="26">
        <v>144</v>
      </c>
      <c r="H253" s="26" t="str" cm="1">
        <f t="array" ref="H253">_xlfn.IFS(CallData[[#This Row],[Purchase Amount]]&lt;=50,"Low",CallData[[#This Row],[Purchase Amount]]&lt;=100,"Medium",CallData[[#This Row],[Purchase Amount]]&lt;=150,"High",CallData[[#This Row],[Purchase Amount]]&gt;150,"Very High")</f>
        <v>High</v>
      </c>
      <c r="I253" s="23">
        <v>2.9</v>
      </c>
      <c r="J253" s="23">
        <f>IF(MONTH('Call Data'!$F253)&lt;=6, YEAR('Call Data'!$F253), YEAR('Call Data'!$F253)+1)</f>
        <v>2023</v>
      </c>
      <c r="K253" s="23" t="str">
        <f>TEXT('Call Data'!$F253,"DDDD")</f>
        <v>Monday</v>
      </c>
      <c r="L253" s="23" t="s">
        <v>14</v>
      </c>
      <c r="M253" s="23">
        <f>ROUND('Call Data'!$I253,0)</f>
        <v>3</v>
      </c>
    </row>
    <row r="254" spans="1:13" ht="14.25" customHeight="1" x14ac:dyDescent="0.35">
      <c r="A254" s="23" t="s">
        <v>288</v>
      </c>
      <c r="B254" s="23" t="s">
        <v>18</v>
      </c>
      <c r="C254" s="23">
        <v>102</v>
      </c>
      <c r="D254" s="24" t="str" cm="1">
        <f t="array" ref="D254">_xlfn.IFS(CallData[[#This Row],[Duration]]&lt;=15,"Very short",CallData[[#This Row],[Duration]]&lt;=30,"Short",CallData[[#This Row],[Duration]]&lt;=60,"Medium",CallData[[#This Row],[Duration]]&gt;60,"Long")</f>
        <v>Long</v>
      </c>
      <c r="E254" s="24" t="s">
        <v>24</v>
      </c>
      <c r="F254" s="25">
        <v>45006</v>
      </c>
      <c r="G254" s="26">
        <v>81</v>
      </c>
      <c r="H254" s="26" t="str" cm="1">
        <f t="array" ref="H254">_xlfn.IFS(CallData[[#This Row],[Purchase Amount]]&lt;=50,"Low",CallData[[#This Row],[Purchase Amount]]&lt;=100,"Medium",CallData[[#This Row],[Purchase Amount]]&lt;=150,"High",CallData[[#This Row],[Purchase Amount]]&gt;150,"Very High")</f>
        <v>Medium</v>
      </c>
      <c r="I254" s="23">
        <v>4</v>
      </c>
      <c r="J254" s="23">
        <f>IF(MONTH('Call Data'!$F254)&lt;=6, YEAR('Call Data'!$F254), YEAR('Call Data'!$F254)+1)</f>
        <v>2023</v>
      </c>
      <c r="K254" s="23" t="str">
        <f>TEXT('Call Data'!$F254,"DDDD")</f>
        <v>Tuesday</v>
      </c>
      <c r="L254" s="23" t="s">
        <v>14</v>
      </c>
      <c r="M254" s="23">
        <f>ROUND('Call Data'!$I254,0)</f>
        <v>4</v>
      </c>
    </row>
    <row r="255" spans="1:13" ht="14.25" customHeight="1" x14ac:dyDescent="0.35">
      <c r="A255" s="23" t="s">
        <v>289</v>
      </c>
      <c r="B255" s="23" t="s">
        <v>21</v>
      </c>
      <c r="C255" s="23">
        <v>155</v>
      </c>
      <c r="D255" s="24" t="str" cm="1">
        <f t="array" ref="D255">_xlfn.IFS(CallData[[#This Row],[Duration]]&lt;=15,"Very short",CallData[[#This Row],[Duration]]&lt;=30,"Short",CallData[[#This Row],[Duration]]&lt;=60,"Medium",CallData[[#This Row],[Duration]]&gt;60,"Long")</f>
        <v>Long</v>
      </c>
      <c r="E255" s="24" t="s">
        <v>35</v>
      </c>
      <c r="F255" s="25">
        <v>45006</v>
      </c>
      <c r="G255" s="26">
        <v>70</v>
      </c>
      <c r="H255" s="26" t="str" cm="1">
        <f t="array" ref="H255">_xlfn.IFS(CallData[[#This Row],[Purchase Amount]]&lt;=50,"Low",CallData[[#This Row],[Purchase Amount]]&lt;=100,"Medium",CallData[[#This Row],[Purchase Amount]]&lt;=150,"High",CallData[[#This Row],[Purchase Amount]]&gt;150,"Very High")</f>
        <v>Medium</v>
      </c>
      <c r="I255" s="23">
        <v>4.4000000000000004</v>
      </c>
      <c r="J255" s="23">
        <f>IF(MONTH('Call Data'!$F255)&lt;=6, YEAR('Call Data'!$F255), YEAR('Call Data'!$F255)+1)</f>
        <v>2023</v>
      </c>
      <c r="K255" s="23" t="str">
        <f>TEXT('Call Data'!$F255,"DDDD")</f>
        <v>Tuesday</v>
      </c>
      <c r="L255" s="23" t="s">
        <v>25</v>
      </c>
      <c r="M255" s="23">
        <f>ROUND('Call Data'!$I255,0)</f>
        <v>4</v>
      </c>
    </row>
    <row r="256" spans="1:13" ht="14.25" customHeight="1" x14ac:dyDescent="0.35">
      <c r="A256" s="23" t="s">
        <v>290</v>
      </c>
      <c r="B256" s="23" t="s">
        <v>16</v>
      </c>
      <c r="C256" s="23">
        <v>63</v>
      </c>
      <c r="D256" s="24" t="str" cm="1">
        <f t="array" ref="D256">_xlfn.IFS(CallData[[#This Row],[Duration]]&lt;=15,"Very short",CallData[[#This Row],[Duration]]&lt;=30,"Short",CallData[[#This Row],[Duration]]&lt;=60,"Medium",CallData[[#This Row],[Duration]]&gt;60,"Long")</f>
        <v>Long</v>
      </c>
      <c r="E256" s="24" t="s">
        <v>35</v>
      </c>
      <c r="F256" s="25">
        <v>45006</v>
      </c>
      <c r="G256" s="26">
        <v>148</v>
      </c>
      <c r="H256" s="26" t="str" cm="1">
        <f t="array" ref="H256">_xlfn.IFS(CallData[[#This Row],[Purchase Amount]]&lt;=50,"Low",CallData[[#This Row],[Purchase Amount]]&lt;=100,"Medium",CallData[[#This Row],[Purchase Amount]]&lt;=150,"High",CallData[[#This Row],[Purchase Amount]]&gt;150,"Very High")</f>
        <v>High</v>
      </c>
      <c r="I256" s="23">
        <v>5</v>
      </c>
      <c r="J256" s="23">
        <f>IF(MONTH('Call Data'!$F256)&lt;=6, YEAR('Call Data'!$F256), YEAR('Call Data'!$F256)+1)</f>
        <v>2023</v>
      </c>
      <c r="K256" s="23" t="str">
        <f>TEXT('Call Data'!$F256,"DDDD")</f>
        <v>Tuesday</v>
      </c>
      <c r="L256" s="23" t="s">
        <v>14</v>
      </c>
      <c r="M256" s="23">
        <f>ROUND('Call Data'!$I256,0)</f>
        <v>5</v>
      </c>
    </row>
    <row r="257" spans="1:13" ht="14.25" customHeight="1" x14ac:dyDescent="0.35">
      <c r="A257" s="23" t="s">
        <v>291</v>
      </c>
      <c r="B257" s="23" t="s">
        <v>29</v>
      </c>
      <c r="C257" s="23">
        <v>59</v>
      </c>
      <c r="D257" s="24" t="str" cm="1">
        <f t="array" ref="D257">_xlfn.IFS(CallData[[#This Row],[Duration]]&lt;=15,"Very short",CallData[[#This Row],[Duration]]&lt;=30,"Short",CallData[[#This Row],[Duration]]&lt;=60,"Medium",CallData[[#This Row],[Duration]]&gt;60,"Long")</f>
        <v>Medium</v>
      </c>
      <c r="E257" s="24" t="s">
        <v>24</v>
      </c>
      <c r="F257" s="25">
        <v>45006</v>
      </c>
      <c r="G257" s="26">
        <v>215</v>
      </c>
      <c r="H257" s="26" t="str" cm="1">
        <f t="array" ref="H257">_xlfn.IFS(CallData[[#This Row],[Purchase Amount]]&lt;=50,"Low",CallData[[#This Row],[Purchase Amount]]&lt;=100,"Medium",CallData[[#This Row],[Purchase Amount]]&lt;=150,"High",CallData[[#This Row],[Purchase Amount]]&gt;150,"Very High")</f>
        <v>Very High</v>
      </c>
      <c r="I257" s="23">
        <v>4.0999999999999996</v>
      </c>
      <c r="J257" s="23">
        <f>IF(MONTH('Call Data'!$F257)&lt;=6, YEAR('Call Data'!$F257), YEAR('Call Data'!$F257)+1)</f>
        <v>2023</v>
      </c>
      <c r="K257" s="23" t="str">
        <f>TEXT('Call Data'!$F257,"DDDD")</f>
        <v>Tuesday</v>
      </c>
      <c r="L257" s="23" t="s">
        <v>27</v>
      </c>
      <c r="M257" s="23">
        <f>ROUND('Call Data'!$I257,0)</f>
        <v>4</v>
      </c>
    </row>
    <row r="258" spans="1:13" ht="14.25" customHeight="1" x14ac:dyDescent="0.35">
      <c r="A258" s="23" t="s">
        <v>292</v>
      </c>
      <c r="B258" s="23" t="s">
        <v>29</v>
      </c>
      <c r="C258" s="23">
        <v>144</v>
      </c>
      <c r="D258" s="24" t="str" cm="1">
        <f t="array" ref="D258">_xlfn.IFS(CallData[[#This Row],[Duration]]&lt;=15,"Very short",CallData[[#This Row],[Duration]]&lt;=30,"Short",CallData[[#This Row],[Duration]]&lt;=60,"Medium",CallData[[#This Row],[Duration]]&gt;60,"Long")</f>
        <v>Long</v>
      </c>
      <c r="E258" s="24" t="s">
        <v>19</v>
      </c>
      <c r="F258" s="25">
        <v>45006</v>
      </c>
      <c r="G258" s="26">
        <v>124</v>
      </c>
      <c r="H258" s="26" t="str" cm="1">
        <f t="array" ref="H258">_xlfn.IFS(CallData[[#This Row],[Purchase Amount]]&lt;=50,"Low",CallData[[#This Row],[Purchase Amount]]&lt;=100,"Medium",CallData[[#This Row],[Purchase Amount]]&lt;=150,"High",CallData[[#This Row],[Purchase Amount]]&gt;150,"Very High")</f>
        <v>High</v>
      </c>
      <c r="I258" s="23">
        <v>4.4000000000000004</v>
      </c>
      <c r="J258" s="23">
        <f>IF(MONTH('Call Data'!$F258)&lt;=6, YEAR('Call Data'!$F258), YEAR('Call Data'!$F258)+1)</f>
        <v>2023</v>
      </c>
      <c r="K258" s="23" t="str">
        <f>TEXT('Call Data'!$F258,"DDDD")</f>
        <v>Tuesday</v>
      </c>
      <c r="L258" s="23" t="s">
        <v>25</v>
      </c>
      <c r="M258" s="23">
        <f>ROUND('Call Data'!$I258,0)</f>
        <v>4</v>
      </c>
    </row>
    <row r="259" spans="1:13" ht="14.25" customHeight="1" x14ac:dyDescent="0.35">
      <c r="A259" s="23" t="s">
        <v>293</v>
      </c>
      <c r="B259" s="23" t="s">
        <v>50</v>
      </c>
      <c r="C259" s="23">
        <v>113</v>
      </c>
      <c r="D259" s="24" t="str" cm="1">
        <f t="array" ref="D259">_xlfn.IFS(CallData[[#This Row],[Duration]]&lt;=15,"Very short",CallData[[#This Row],[Duration]]&lt;=30,"Short",CallData[[#This Row],[Duration]]&lt;=60,"Medium",CallData[[#This Row],[Duration]]&gt;60,"Long")</f>
        <v>Long</v>
      </c>
      <c r="E259" s="24" t="s">
        <v>31</v>
      </c>
      <c r="F259" s="25">
        <v>45006</v>
      </c>
      <c r="G259" s="26">
        <v>168</v>
      </c>
      <c r="H259" s="26" t="str" cm="1">
        <f t="array" ref="H259">_xlfn.IFS(CallData[[#This Row],[Purchase Amount]]&lt;=50,"Low",CallData[[#This Row],[Purchase Amount]]&lt;=100,"Medium",CallData[[#This Row],[Purchase Amount]]&lt;=150,"High",CallData[[#This Row],[Purchase Amount]]&gt;150,"Very High")</f>
        <v>Very High</v>
      </c>
      <c r="I259" s="23">
        <v>4.0999999999999996</v>
      </c>
      <c r="J259" s="23">
        <f>IF(MONTH('Call Data'!$F259)&lt;=6, YEAR('Call Data'!$F259), YEAR('Call Data'!$F259)+1)</f>
        <v>2023</v>
      </c>
      <c r="K259" s="23" t="str">
        <f>TEXT('Call Data'!$F259,"DDDD")</f>
        <v>Tuesday</v>
      </c>
      <c r="L259" s="23" t="s">
        <v>14</v>
      </c>
      <c r="M259" s="23">
        <f>ROUND('Call Data'!$I259,0)</f>
        <v>4</v>
      </c>
    </row>
    <row r="260" spans="1:13" ht="14.25" customHeight="1" x14ac:dyDescent="0.35">
      <c r="A260" s="23" t="s">
        <v>294</v>
      </c>
      <c r="B260" s="23" t="s">
        <v>58</v>
      </c>
      <c r="C260" s="23">
        <v>154</v>
      </c>
      <c r="D260" s="24" t="str" cm="1">
        <f t="array" ref="D260">_xlfn.IFS(CallData[[#This Row],[Duration]]&lt;=15,"Very short",CallData[[#This Row],[Duration]]&lt;=30,"Short",CallData[[#This Row],[Duration]]&lt;=60,"Medium",CallData[[#This Row],[Duration]]&gt;60,"Long")</f>
        <v>Long</v>
      </c>
      <c r="E260" s="24" t="s">
        <v>13</v>
      </c>
      <c r="F260" s="25">
        <v>45006</v>
      </c>
      <c r="G260" s="26">
        <v>90</v>
      </c>
      <c r="H260" s="26" t="str" cm="1">
        <f t="array" ref="H260">_xlfn.IFS(CallData[[#This Row],[Purchase Amount]]&lt;=50,"Low",CallData[[#This Row],[Purchase Amount]]&lt;=100,"Medium",CallData[[#This Row],[Purchase Amount]]&lt;=150,"High",CallData[[#This Row],[Purchase Amount]]&gt;150,"Very High")</f>
        <v>Medium</v>
      </c>
      <c r="I260" s="23">
        <v>4.5</v>
      </c>
      <c r="J260" s="23">
        <f>IF(MONTH('Call Data'!$F260)&lt;=6, YEAR('Call Data'!$F260), YEAR('Call Data'!$F260)+1)</f>
        <v>2023</v>
      </c>
      <c r="K260" s="23" t="str">
        <f>TEXT('Call Data'!$F260,"DDDD")</f>
        <v>Tuesday</v>
      </c>
      <c r="L260" s="23" t="s">
        <v>25</v>
      </c>
      <c r="M260" s="23">
        <f>ROUND('Call Data'!$I260,0)</f>
        <v>5</v>
      </c>
    </row>
    <row r="261" spans="1:13" ht="14.25" customHeight="1" x14ac:dyDescent="0.35">
      <c r="A261" s="23" t="s">
        <v>295</v>
      </c>
      <c r="B261" s="23" t="s">
        <v>58</v>
      </c>
      <c r="C261" s="23">
        <v>58</v>
      </c>
      <c r="D261" s="24" t="str" cm="1">
        <f t="array" ref="D261">_xlfn.IFS(CallData[[#This Row],[Duration]]&lt;=15,"Very short",CallData[[#This Row],[Duration]]&lt;=30,"Short",CallData[[#This Row],[Duration]]&lt;=60,"Medium",CallData[[#This Row],[Duration]]&gt;60,"Long")</f>
        <v>Medium</v>
      </c>
      <c r="E261" s="24" t="s">
        <v>24</v>
      </c>
      <c r="F261" s="25">
        <v>45007</v>
      </c>
      <c r="G261" s="26">
        <v>176</v>
      </c>
      <c r="H261" s="26" t="str" cm="1">
        <f t="array" ref="H261">_xlfn.IFS(CallData[[#This Row],[Purchase Amount]]&lt;=50,"Low",CallData[[#This Row],[Purchase Amount]]&lt;=100,"Medium",CallData[[#This Row],[Purchase Amount]]&lt;=150,"High",CallData[[#This Row],[Purchase Amount]]&gt;150,"Very High")</f>
        <v>Very High</v>
      </c>
      <c r="I261" s="23">
        <v>4.2</v>
      </c>
      <c r="J261" s="23">
        <f>IF(MONTH('Call Data'!$F261)&lt;=6, YEAR('Call Data'!$F261), YEAR('Call Data'!$F261)+1)</f>
        <v>2023</v>
      </c>
      <c r="K261" s="23" t="str">
        <f>TEXT('Call Data'!$F261,"DDDD")</f>
        <v>Wednesday</v>
      </c>
      <c r="L261" s="23" t="s">
        <v>27</v>
      </c>
      <c r="M261" s="23">
        <f>ROUND('Call Data'!$I261,0)</f>
        <v>4</v>
      </c>
    </row>
    <row r="262" spans="1:13" ht="14.25" customHeight="1" x14ac:dyDescent="0.35">
      <c r="A262" s="23" t="s">
        <v>296</v>
      </c>
      <c r="B262" s="23" t="s">
        <v>23</v>
      </c>
      <c r="C262" s="23">
        <v>63</v>
      </c>
      <c r="D262" s="24" t="str" cm="1">
        <f t="array" ref="D262">_xlfn.IFS(CallData[[#This Row],[Duration]]&lt;=15,"Very short",CallData[[#This Row],[Duration]]&lt;=30,"Short",CallData[[#This Row],[Duration]]&lt;=60,"Medium",CallData[[#This Row],[Duration]]&gt;60,"Long")</f>
        <v>Long</v>
      </c>
      <c r="E262" s="24" t="s">
        <v>35</v>
      </c>
      <c r="F262" s="25">
        <v>45007</v>
      </c>
      <c r="G262" s="26">
        <v>87</v>
      </c>
      <c r="H262" s="26" t="str" cm="1">
        <f t="array" ref="H262">_xlfn.IFS(CallData[[#This Row],[Purchase Amount]]&lt;=50,"Low",CallData[[#This Row],[Purchase Amount]]&lt;=100,"Medium",CallData[[#This Row],[Purchase Amount]]&lt;=150,"High",CallData[[#This Row],[Purchase Amount]]&gt;150,"Very High")</f>
        <v>Medium</v>
      </c>
      <c r="I262" s="23">
        <v>4.5999999999999996</v>
      </c>
      <c r="J262" s="23">
        <f>IF(MONTH('Call Data'!$F262)&lt;=6, YEAR('Call Data'!$F262), YEAR('Call Data'!$F262)+1)</f>
        <v>2023</v>
      </c>
      <c r="K262" s="23" t="str">
        <f>TEXT('Call Data'!$F262,"DDDD")</f>
        <v>Wednesday</v>
      </c>
      <c r="L262" s="23" t="s">
        <v>14</v>
      </c>
      <c r="M262" s="23">
        <f>ROUND('Call Data'!$I262,0)</f>
        <v>5</v>
      </c>
    </row>
    <row r="263" spans="1:13" ht="14.25" customHeight="1" x14ac:dyDescent="0.35">
      <c r="A263" s="23" t="s">
        <v>297</v>
      </c>
      <c r="B263" s="23" t="s">
        <v>46</v>
      </c>
      <c r="C263" s="23">
        <v>59</v>
      </c>
      <c r="D263" s="24" t="str" cm="1">
        <f t="array" ref="D263">_xlfn.IFS(CallData[[#This Row],[Duration]]&lt;=15,"Very short",CallData[[#This Row],[Duration]]&lt;=30,"Short",CallData[[#This Row],[Duration]]&lt;=60,"Medium",CallData[[#This Row],[Duration]]&gt;60,"Long")</f>
        <v>Medium</v>
      </c>
      <c r="E263" s="24" t="s">
        <v>19</v>
      </c>
      <c r="F263" s="25">
        <v>45007</v>
      </c>
      <c r="G263" s="26">
        <v>128</v>
      </c>
      <c r="H263" s="26" t="str" cm="1">
        <f t="array" ref="H263">_xlfn.IFS(CallData[[#This Row],[Purchase Amount]]&lt;=50,"Low",CallData[[#This Row],[Purchase Amount]]&lt;=100,"Medium",CallData[[#This Row],[Purchase Amount]]&lt;=150,"High",CallData[[#This Row],[Purchase Amount]]&gt;150,"Very High")</f>
        <v>High</v>
      </c>
      <c r="I263" s="23">
        <v>4.5</v>
      </c>
      <c r="J263" s="23">
        <f>IF(MONTH('Call Data'!$F263)&lt;=6, YEAR('Call Data'!$F263), YEAR('Call Data'!$F263)+1)</f>
        <v>2023</v>
      </c>
      <c r="K263" s="23" t="str">
        <f>TEXT('Call Data'!$F263,"DDDD")</f>
        <v>Wednesday</v>
      </c>
      <c r="L263" s="23" t="s">
        <v>27</v>
      </c>
      <c r="M263" s="23">
        <f>ROUND('Call Data'!$I263,0)</f>
        <v>5</v>
      </c>
    </row>
    <row r="264" spans="1:13" ht="14.25" customHeight="1" x14ac:dyDescent="0.35">
      <c r="A264" s="23" t="s">
        <v>298</v>
      </c>
      <c r="B264" s="23" t="s">
        <v>88</v>
      </c>
      <c r="C264" s="23">
        <v>129</v>
      </c>
      <c r="D264" s="24" t="str" cm="1">
        <f t="array" ref="D264">_xlfn.IFS(CallData[[#This Row],[Duration]]&lt;=15,"Very short",CallData[[#This Row],[Duration]]&lt;=30,"Short",CallData[[#This Row],[Duration]]&lt;=60,"Medium",CallData[[#This Row],[Duration]]&gt;60,"Long")</f>
        <v>Long</v>
      </c>
      <c r="E264" s="24" t="s">
        <v>35</v>
      </c>
      <c r="F264" s="25">
        <v>45007</v>
      </c>
      <c r="G264" s="26">
        <v>120</v>
      </c>
      <c r="H264" s="26" t="str" cm="1">
        <f t="array" ref="H264">_xlfn.IFS(CallData[[#This Row],[Purchase Amount]]&lt;=50,"Low",CallData[[#This Row],[Purchase Amount]]&lt;=100,"Medium",CallData[[#This Row],[Purchase Amount]]&lt;=150,"High",CallData[[#This Row],[Purchase Amount]]&gt;150,"Very High")</f>
        <v>High</v>
      </c>
      <c r="I264" s="23">
        <v>4.0999999999999996</v>
      </c>
      <c r="J264" s="23">
        <f>IF(MONTH('Call Data'!$F264)&lt;=6, YEAR('Call Data'!$F264), YEAR('Call Data'!$F264)+1)</f>
        <v>2023</v>
      </c>
      <c r="K264" s="23" t="str">
        <f>TEXT('Call Data'!$F264,"DDDD")</f>
        <v>Wednesday</v>
      </c>
      <c r="L264" s="23" t="s">
        <v>25</v>
      </c>
      <c r="M264" s="23">
        <f>ROUND('Call Data'!$I264,0)</f>
        <v>4</v>
      </c>
    </row>
    <row r="265" spans="1:13" ht="14.25" customHeight="1" x14ac:dyDescent="0.35">
      <c r="A265" s="23" t="s">
        <v>299</v>
      </c>
      <c r="B265" s="23" t="s">
        <v>40</v>
      </c>
      <c r="C265" s="23">
        <v>101</v>
      </c>
      <c r="D265" s="24" t="str" cm="1">
        <f t="array" ref="D265">_xlfn.IFS(CallData[[#This Row],[Duration]]&lt;=15,"Very short",CallData[[#This Row],[Duration]]&lt;=30,"Short",CallData[[#This Row],[Duration]]&lt;=60,"Medium",CallData[[#This Row],[Duration]]&gt;60,"Long")</f>
        <v>Long</v>
      </c>
      <c r="E265" s="24" t="s">
        <v>31</v>
      </c>
      <c r="F265" s="25">
        <v>45007</v>
      </c>
      <c r="G265" s="26">
        <v>130</v>
      </c>
      <c r="H265" s="26" t="str" cm="1">
        <f t="array" ref="H265">_xlfn.IFS(CallData[[#This Row],[Purchase Amount]]&lt;=50,"Low",CallData[[#This Row],[Purchase Amount]]&lt;=100,"Medium",CallData[[#This Row],[Purchase Amount]]&lt;=150,"High",CallData[[#This Row],[Purchase Amount]]&gt;150,"Very High")</f>
        <v>High</v>
      </c>
      <c r="I265" s="23">
        <v>4.8</v>
      </c>
      <c r="J265" s="23">
        <f>IF(MONTH('Call Data'!$F265)&lt;=6, YEAR('Call Data'!$F265), YEAR('Call Data'!$F265)+1)</f>
        <v>2023</v>
      </c>
      <c r="K265" s="23" t="str">
        <f>TEXT('Call Data'!$F265,"DDDD")</f>
        <v>Wednesday</v>
      </c>
      <c r="L265" s="23" t="s">
        <v>14</v>
      </c>
      <c r="M265" s="23">
        <f>ROUND('Call Data'!$I265,0)</f>
        <v>5</v>
      </c>
    </row>
    <row r="266" spans="1:13" ht="14.25" customHeight="1" x14ac:dyDescent="0.35">
      <c r="A266" s="23" t="s">
        <v>300</v>
      </c>
      <c r="B266" s="23" t="s">
        <v>55</v>
      </c>
      <c r="C266" s="23">
        <v>154</v>
      </c>
      <c r="D266" s="24" t="str" cm="1">
        <f t="array" ref="D266">_xlfn.IFS(CallData[[#This Row],[Duration]]&lt;=15,"Very short",CallData[[#This Row],[Duration]]&lt;=30,"Short",CallData[[#This Row],[Duration]]&lt;=60,"Medium",CallData[[#This Row],[Duration]]&gt;60,"Long")</f>
        <v>Long</v>
      </c>
      <c r="E266" s="24" t="s">
        <v>19</v>
      </c>
      <c r="F266" s="25">
        <v>45007</v>
      </c>
      <c r="G266" s="26">
        <v>172</v>
      </c>
      <c r="H266" s="26" t="str" cm="1">
        <f t="array" ref="H266">_xlfn.IFS(CallData[[#This Row],[Purchase Amount]]&lt;=50,"Low",CallData[[#This Row],[Purchase Amount]]&lt;=100,"Medium",CallData[[#This Row],[Purchase Amount]]&lt;=150,"High",CallData[[#This Row],[Purchase Amount]]&gt;150,"Very High")</f>
        <v>Very High</v>
      </c>
      <c r="I266" s="23">
        <v>3.1</v>
      </c>
      <c r="J266" s="23">
        <f>IF(MONTH('Call Data'!$F266)&lt;=6, YEAR('Call Data'!$F266), YEAR('Call Data'!$F266)+1)</f>
        <v>2023</v>
      </c>
      <c r="K266" s="23" t="str">
        <f>TEXT('Call Data'!$F266,"DDDD")</f>
        <v>Wednesday</v>
      </c>
      <c r="L266" s="23" t="s">
        <v>25</v>
      </c>
      <c r="M266" s="23">
        <f>ROUND('Call Data'!$I266,0)</f>
        <v>3</v>
      </c>
    </row>
    <row r="267" spans="1:13" ht="14.25" customHeight="1" x14ac:dyDescent="0.35">
      <c r="A267" s="23" t="s">
        <v>301</v>
      </c>
      <c r="B267" s="23" t="s">
        <v>34</v>
      </c>
      <c r="C267" s="23">
        <v>131</v>
      </c>
      <c r="D267" s="24" t="str" cm="1">
        <f t="array" ref="D267">_xlfn.IFS(CallData[[#This Row],[Duration]]&lt;=15,"Very short",CallData[[#This Row],[Duration]]&lt;=30,"Short",CallData[[#This Row],[Duration]]&lt;=60,"Medium",CallData[[#This Row],[Duration]]&gt;60,"Long")</f>
        <v>Long</v>
      </c>
      <c r="E267" s="24" t="s">
        <v>19</v>
      </c>
      <c r="F267" s="25">
        <v>45007</v>
      </c>
      <c r="G267" s="26">
        <v>58</v>
      </c>
      <c r="H267" s="26" t="str" cm="1">
        <f t="array" ref="H267">_xlfn.IFS(CallData[[#This Row],[Purchase Amount]]&lt;=50,"Low",CallData[[#This Row],[Purchase Amount]]&lt;=100,"Medium",CallData[[#This Row],[Purchase Amount]]&lt;=150,"High",CallData[[#This Row],[Purchase Amount]]&gt;150,"Very High")</f>
        <v>Medium</v>
      </c>
      <c r="I267" s="23">
        <v>4.9000000000000004</v>
      </c>
      <c r="J267" s="23">
        <f>IF(MONTH('Call Data'!$F267)&lt;=6, YEAR('Call Data'!$F267), YEAR('Call Data'!$F267)+1)</f>
        <v>2023</v>
      </c>
      <c r="K267" s="23" t="str">
        <f>TEXT('Call Data'!$F267,"DDDD")</f>
        <v>Wednesday</v>
      </c>
      <c r="L267" s="23" t="s">
        <v>25</v>
      </c>
      <c r="M267" s="23">
        <f>ROUND('Call Data'!$I267,0)</f>
        <v>5</v>
      </c>
    </row>
    <row r="268" spans="1:13" ht="14.25" customHeight="1" x14ac:dyDescent="0.35">
      <c r="A268" s="23" t="s">
        <v>302</v>
      </c>
      <c r="B268" s="23" t="s">
        <v>29</v>
      </c>
      <c r="C268" s="23">
        <v>111</v>
      </c>
      <c r="D268" s="24" t="str" cm="1">
        <f t="array" ref="D268">_xlfn.IFS(CallData[[#This Row],[Duration]]&lt;=15,"Very short",CallData[[#This Row],[Duration]]&lt;=30,"Short",CallData[[#This Row],[Duration]]&lt;=60,"Medium",CallData[[#This Row],[Duration]]&gt;60,"Long")</f>
        <v>Long</v>
      </c>
      <c r="E268" s="24" t="s">
        <v>31</v>
      </c>
      <c r="F268" s="25">
        <v>45008</v>
      </c>
      <c r="G268" s="26">
        <v>86</v>
      </c>
      <c r="H268" s="26" t="str" cm="1">
        <f t="array" ref="H268">_xlfn.IFS(CallData[[#This Row],[Purchase Amount]]&lt;=50,"Low",CallData[[#This Row],[Purchase Amount]]&lt;=100,"Medium",CallData[[#This Row],[Purchase Amount]]&lt;=150,"High",CallData[[#This Row],[Purchase Amount]]&gt;150,"Very High")</f>
        <v>Medium</v>
      </c>
      <c r="I268" s="23">
        <v>4.0999999999999996</v>
      </c>
      <c r="J268" s="23">
        <f>IF(MONTH('Call Data'!$F268)&lt;=6, YEAR('Call Data'!$F268), YEAR('Call Data'!$F268)+1)</f>
        <v>2023</v>
      </c>
      <c r="K268" s="23" t="str">
        <f>TEXT('Call Data'!$F268,"DDDD")</f>
        <v>Thursday</v>
      </c>
      <c r="L268" s="23" t="s">
        <v>14</v>
      </c>
      <c r="M268" s="23">
        <f>ROUND('Call Data'!$I268,0)</f>
        <v>4</v>
      </c>
    </row>
    <row r="269" spans="1:13" ht="14.25" customHeight="1" x14ac:dyDescent="0.35">
      <c r="A269" s="23" t="s">
        <v>303</v>
      </c>
      <c r="B269" s="23" t="s">
        <v>58</v>
      </c>
      <c r="C269" s="23">
        <v>142</v>
      </c>
      <c r="D269" s="24" t="str" cm="1">
        <f t="array" ref="D269">_xlfn.IFS(CallData[[#This Row],[Duration]]&lt;=15,"Very short",CallData[[#This Row],[Duration]]&lt;=30,"Short",CallData[[#This Row],[Duration]]&lt;=60,"Medium",CallData[[#This Row],[Duration]]&gt;60,"Long")</f>
        <v>Long</v>
      </c>
      <c r="E269" s="24" t="s">
        <v>31</v>
      </c>
      <c r="F269" s="25">
        <v>45009</v>
      </c>
      <c r="G269" s="26">
        <v>31</v>
      </c>
      <c r="H269" s="26" t="str" cm="1">
        <f t="array" ref="H269">_xlfn.IFS(CallData[[#This Row],[Purchase Amount]]&lt;=50,"Low",CallData[[#This Row],[Purchase Amount]]&lt;=100,"Medium",CallData[[#This Row],[Purchase Amount]]&lt;=150,"High",CallData[[#This Row],[Purchase Amount]]&gt;150,"Very High")</f>
        <v>Low</v>
      </c>
      <c r="I269" s="23">
        <v>4.4000000000000004</v>
      </c>
      <c r="J269" s="23">
        <f>IF(MONTH('Call Data'!$F269)&lt;=6, YEAR('Call Data'!$F269), YEAR('Call Data'!$F269)+1)</f>
        <v>2023</v>
      </c>
      <c r="K269" s="23" t="str">
        <f>TEXT('Call Data'!$F269,"DDDD")</f>
        <v>Friday</v>
      </c>
      <c r="L269" s="23" t="s">
        <v>25</v>
      </c>
      <c r="M269" s="23">
        <f>ROUND('Call Data'!$I269,0)</f>
        <v>4</v>
      </c>
    </row>
    <row r="270" spans="1:13" ht="14.25" customHeight="1" x14ac:dyDescent="0.35">
      <c r="A270" s="23" t="s">
        <v>304</v>
      </c>
      <c r="B270" s="23" t="s">
        <v>18</v>
      </c>
      <c r="C270" s="23">
        <v>93</v>
      </c>
      <c r="D270" s="24" t="str" cm="1">
        <f t="array" ref="D270">_xlfn.IFS(CallData[[#This Row],[Duration]]&lt;=15,"Very short",CallData[[#This Row],[Duration]]&lt;=30,"Short",CallData[[#This Row],[Duration]]&lt;=60,"Medium",CallData[[#This Row],[Duration]]&gt;60,"Long")</f>
        <v>Long</v>
      </c>
      <c r="E270" s="24" t="s">
        <v>35</v>
      </c>
      <c r="F270" s="25">
        <v>45009</v>
      </c>
      <c r="G270" s="26">
        <v>72</v>
      </c>
      <c r="H270" s="26" t="str" cm="1">
        <f t="array" ref="H270">_xlfn.IFS(CallData[[#This Row],[Purchase Amount]]&lt;=50,"Low",CallData[[#This Row],[Purchase Amount]]&lt;=100,"Medium",CallData[[#This Row],[Purchase Amount]]&lt;=150,"High",CallData[[#This Row],[Purchase Amount]]&gt;150,"Very High")</f>
        <v>Medium</v>
      </c>
      <c r="I270" s="23">
        <v>4.4000000000000004</v>
      </c>
      <c r="J270" s="23">
        <f>IF(MONTH('Call Data'!$F270)&lt;=6, YEAR('Call Data'!$F270), YEAR('Call Data'!$F270)+1)</f>
        <v>2023</v>
      </c>
      <c r="K270" s="23" t="str">
        <f>TEXT('Call Data'!$F270,"DDDD")</f>
        <v>Friday</v>
      </c>
      <c r="L270" s="23" t="s">
        <v>14</v>
      </c>
      <c r="M270" s="23">
        <f>ROUND('Call Data'!$I270,0)</f>
        <v>4</v>
      </c>
    </row>
    <row r="271" spans="1:13" ht="14.25" customHeight="1" x14ac:dyDescent="0.35">
      <c r="A271" s="23" t="s">
        <v>305</v>
      </c>
      <c r="B271" s="23" t="s">
        <v>58</v>
      </c>
      <c r="C271" s="23">
        <v>125</v>
      </c>
      <c r="D271" s="24" t="str" cm="1">
        <f t="array" ref="D271">_xlfn.IFS(CallData[[#This Row],[Duration]]&lt;=15,"Very short",CallData[[#This Row],[Duration]]&lt;=30,"Short",CallData[[#This Row],[Duration]]&lt;=60,"Medium",CallData[[#This Row],[Duration]]&gt;60,"Long")</f>
        <v>Long</v>
      </c>
      <c r="E271" s="24" t="s">
        <v>13</v>
      </c>
      <c r="F271" s="25">
        <v>45010</v>
      </c>
      <c r="G271" s="26">
        <v>27</v>
      </c>
      <c r="H271" s="26" t="str" cm="1">
        <f t="array" ref="H271">_xlfn.IFS(CallData[[#This Row],[Purchase Amount]]&lt;=50,"Low",CallData[[#This Row],[Purchase Amount]]&lt;=100,"Medium",CallData[[#This Row],[Purchase Amount]]&lt;=150,"High",CallData[[#This Row],[Purchase Amount]]&gt;150,"Very High")</f>
        <v>Low</v>
      </c>
      <c r="I271" s="23">
        <v>3</v>
      </c>
      <c r="J271" s="23">
        <f>IF(MONTH('Call Data'!$F271)&lt;=6, YEAR('Call Data'!$F271), YEAR('Call Data'!$F271)+1)</f>
        <v>2023</v>
      </c>
      <c r="K271" s="23" t="str">
        <f>TEXT('Call Data'!$F271,"DDDD")</f>
        <v>Saturday</v>
      </c>
      <c r="L271" s="23" t="s">
        <v>25</v>
      </c>
      <c r="M271" s="23">
        <f>ROUND('Call Data'!$I271,0)</f>
        <v>3</v>
      </c>
    </row>
    <row r="272" spans="1:13" ht="14.25" customHeight="1" x14ac:dyDescent="0.35">
      <c r="A272" s="23" t="s">
        <v>306</v>
      </c>
      <c r="B272" s="23" t="s">
        <v>88</v>
      </c>
      <c r="C272" s="23">
        <v>76</v>
      </c>
      <c r="D272" s="24" t="str" cm="1">
        <f t="array" ref="D272">_xlfn.IFS(CallData[[#This Row],[Duration]]&lt;=15,"Very short",CallData[[#This Row],[Duration]]&lt;=30,"Short",CallData[[#This Row],[Duration]]&lt;=60,"Medium",CallData[[#This Row],[Duration]]&gt;60,"Long")</f>
        <v>Long</v>
      </c>
      <c r="E272" s="24" t="s">
        <v>19</v>
      </c>
      <c r="F272" s="25">
        <v>45010</v>
      </c>
      <c r="G272" s="26">
        <v>110</v>
      </c>
      <c r="H272" s="26" t="str" cm="1">
        <f t="array" ref="H272">_xlfn.IFS(CallData[[#This Row],[Purchase Amount]]&lt;=50,"Low",CallData[[#This Row],[Purchase Amount]]&lt;=100,"Medium",CallData[[#This Row],[Purchase Amount]]&lt;=150,"High",CallData[[#This Row],[Purchase Amount]]&gt;150,"Very High")</f>
        <v>High</v>
      </c>
      <c r="I272" s="23">
        <v>4.4000000000000004</v>
      </c>
      <c r="J272" s="23">
        <f>IF(MONTH('Call Data'!$F272)&lt;=6, YEAR('Call Data'!$F272), YEAR('Call Data'!$F272)+1)</f>
        <v>2023</v>
      </c>
      <c r="K272" s="23" t="str">
        <f>TEXT('Call Data'!$F272,"DDDD")</f>
        <v>Saturday</v>
      </c>
      <c r="L272" s="23" t="s">
        <v>14</v>
      </c>
      <c r="M272" s="23">
        <f>ROUND('Call Data'!$I272,0)</f>
        <v>4</v>
      </c>
    </row>
    <row r="273" spans="1:13" ht="14.25" customHeight="1" x14ac:dyDescent="0.35">
      <c r="A273" s="23" t="s">
        <v>307</v>
      </c>
      <c r="B273" s="23" t="s">
        <v>50</v>
      </c>
      <c r="C273" s="23">
        <v>69</v>
      </c>
      <c r="D273" s="24" t="str" cm="1">
        <f t="array" ref="D273">_xlfn.IFS(CallData[[#This Row],[Duration]]&lt;=15,"Very short",CallData[[#This Row],[Duration]]&lt;=30,"Short",CallData[[#This Row],[Duration]]&lt;=60,"Medium",CallData[[#This Row],[Duration]]&gt;60,"Long")</f>
        <v>Long</v>
      </c>
      <c r="E273" s="24" t="s">
        <v>35</v>
      </c>
      <c r="F273" s="25">
        <v>45010</v>
      </c>
      <c r="G273" s="26">
        <v>126</v>
      </c>
      <c r="H273" s="26" t="str" cm="1">
        <f t="array" ref="H273">_xlfn.IFS(CallData[[#This Row],[Purchase Amount]]&lt;=50,"Low",CallData[[#This Row],[Purchase Amount]]&lt;=100,"Medium",CallData[[#This Row],[Purchase Amount]]&lt;=150,"High",CallData[[#This Row],[Purchase Amount]]&gt;150,"Very High")</f>
        <v>High</v>
      </c>
      <c r="I273" s="23">
        <v>3.7</v>
      </c>
      <c r="J273" s="23">
        <f>IF(MONTH('Call Data'!$F273)&lt;=6, YEAR('Call Data'!$F273), YEAR('Call Data'!$F273)+1)</f>
        <v>2023</v>
      </c>
      <c r="K273" s="23" t="str">
        <f>TEXT('Call Data'!$F273,"DDDD")</f>
        <v>Saturday</v>
      </c>
      <c r="L273" s="23" t="s">
        <v>14</v>
      </c>
      <c r="M273" s="23">
        <f>ROUND('Call Data'!$I273,0)</f>
        <v>4</v>
      </c>
    </row>
    <row r="274" spans="1:13" ht="14.25" customHeight="1" x14ac:dyDescent="0.35">
      <c r="A274" s="23" t="s">
        <v>308</v>
      </c>
      <c r="B274" s="23" t="s">
        <v>46</v>
      </c>
      <c r="C274" s="23">
        <v>149</v>
      </c>
      <c r="D274" s="24" t="str" cm="1">
        <f t="array" ref="D274">_xlfn.IFS(CallData[[#This Row],[Duration]]&lt;=15,"Very short",CallData[[#This Row],[Duration]]&lt;=30,"Short",CallData[[#This Row],[Duration]]&lt;=60,"Medium",CallData[[#This Row],[Duration]]&gt;60,"Long")</f>
        <v>Long</v>
      </c>
      <c r="E274" s="24" t="s">
        <v>13</v>
      </c>
      <c r="F274" s="25">
        <v>45010</v>
      </c>
      <c r="G274" s="26">
        <v>60</v>
      </c>
      <c r="H274" s="26" t="str" cm="1">
        <f t="array" ref="H274">_xlfn.IFS(CallData[[#This Row],[Purchase Amount]]&lt;=50,"Low",CallData[[#This Row],[Purchase Amount]]&lt;=100,"Medium",CallData[[#This Row],[Purchase Amount]]&lt;=150,"High",CallData[[#This Row],[Purchase Amount]]&gt;150,"Very High")</f>
        <v>Medium</v>
      </c>
      <c r="I274" s="23">
        <v>3.9</v>
      </c>
      <c r="J274" s="23">
        <f>IF(MONTH('Call Data'!$F274)&lt;=6, YEAR('Call Data'!$F274), YEAR('Call Data'!$F274)+1)</f>
        <v>2023</v>
      </c>
      <c r="K274" s="23" t="str">
        <f>TEXT('Call Data'!$F274,"DDDD")</f>
        <v>Saturday</v>
      </c>
      <c r="L274" s="23" t="s">
        <v>25</v>
      </c>
      <c r="M274" s="23">
        <f>ROUND('Call Data'!$I274,0)</f>
        <v>4</v>
      </c>
    </row>
    <row r="275" spans="1:13" ht="14.25" customHeight="1" x14ac:dyDescent="0.35">
      <c r="A275" s="23" t="s">
        <v>309</v>
      </c>
      <c r="B275" s="23" t="s">
        <v>58</v>
      </c>
      <c r="C275" s="23">
        <v>57</v>
      </c>
      <c r="D275" s="24" t="str" cm="1">
        <f t="array" ref="D275">_xlfn.IFS(CallData[[#This Row],[Duration]]&lt;=15,"Very short",CallData[[#This Row],[Duration]]&lt;=30,"Short",CallData[[#This Row],[Duration]]&lt;=60,"Medium",CallData[[#This Row],[Duration]]&gt;60,"Long")</f>
        <v>Medium</v>
      </c>
      <c r="E275" s="24" t="s">
        <v>35</v>
      </c>
      <c r="F275" s="25">
        <v>45010</v>
      </c>
      <c r="G275" s="26">
        <v>35</v>
      </c>
      <c r="H275" s="26" t="str" cm="1">
        <f t="array" ref="H275">_xlfn.IFS(CallData[[#This Row],[Purchase Amount]]&lt;=50,"Low",CallData[[#This Row],[Purchase Amount]]&lt;=100,"Medium",CallData[[#This Row],[Purchase Amount]]&lt;=150,"High",CallData[[#This Row],[Purchase Amount]]&gt;150,"Very High")</f>
        <v>Low</v>
      </c>
      <c r="I275" s="23">
        <v>3.5</v>
      </c>
      <c r="J275" s="23">
        <f>IF(MONTH('Call Data'!$F275)&lt;=6, YEAR('Call Data'!$F275), YEAR('Call Data'!$F275)+1)</f>
        <v>2023</v>
      </c>
      <c r="K275" s="23" t="str">
        <f>TEXT('Call Data'!$F275,"DDDD")</f>
        <v>Saturday</v>
      </c>
      <c r="L275" s="23" t="s">
        <v>27</v>
      </c>
      <c r="M275" s="23">
        <f>ROUND('Call Data'!$I275,0)</f>
        <v>4</v>
      </c>
    </row>
    <row r="276" spans="1:13" ht="14.25" customHeight="1" x14ac:dyDescent="0.35">
      <c r="A276" s="23" t="s">
        <v>310</v>
      </c>
      <c r="B276" s="23" t="s">
        <v>16</v>
      </c>
      <c r="C276" s="23">
        <v>113</v>
      </c>
      <c r="D276" s="24" t="str" cm="1">
        <f t="array" ref="D276">_xlfn.IFS(CallData[[#This Row],[Duration]]&lt;=15,"Very short",CallData[[#This Row],[Duration]]&lt;=30,"Short",CallData[[#This Row],[Duration]]&lt;=60,"Medium",CallData[[#This Row],[Duration]]&gt;60,"Long")</f>
        <v>Long</v>
      </c>
      <c r="E276" s="24" t="s">
        <v>19</v>
      </c>
      <c r="F276" s="25">
        <v>45010</v>
      </c>
      <c r="G276" s="26">
        <v>81</v>
      </c>
      <c r="H276" s="26" t="str" cm="1">
        <f t="array" ref="H276">_xlfn.IFS(CallData[[#This Row],[Purchase Amount]]&lt;=50,"Low",CallData[[#This Row],[Purchase Amount]]&lt;=100,"Medium",CallData[[#This Row],[Purchase Amount]]&lt;=150,"High",CallData[[#This Row],[Purchase Amount]]&gt;150,"Very High")</f>
        <v>Medium</v>
      </c>
      <c r="I276" s="23">
        <v>3.5</v>
      </c>
      <c r="J276" s="23">
        <f>IF(MONTH('Call Data'!$F276)&lt;=6, YEAR('Call Data'!$F276), YEAR('Call Data'!$F276)+1)</f>
        <v>2023</v>
      </c>
      <c r="K276" s="23" t="str">
        <f>TEXT('Call Data'!$F276,"DDDD")</f>
        <v>Saturday</v>
      </c>
      <c r="L276" s="23" t="s">
        <v>14</v>
      </c>
      <c r="M276" s="23">
        <f>ROUND('Call Data'!$I276,0)</f>
        <v>4</v>
      </c>
    </row>
    <row r="277" spans="1:13" ht="14.25" customHeight="1" x14ac:dyDescent="0.35">
      <c r="A277" s="23" t="s">
        <v>311</v>
      </c>
      <c r="B277" s="23" t="s">
        <v>12</v>
      </c>
      <c r="C277" s="23">
        <v>160</v>
      </c>
      <c r="D277" s="24" t="str" cm="1">
        <f t="array" ref="D277">_xlfn.IFS(CallData[[#This Row],[Duration]]&lt;=15,"Very short",CallData[[#This Row],[Duration]]&lt;=30,"Short",CallData[[#This Row],[Duration]]&lt;=60,"Medium",CallData[[#This Row],[Duration]]&gt;60,"Long")</f>
        <v>Long</v>
      </c>
      <c r="E277" s="24" t="s">
        <v>13</v>
      </c>
      <c r="F277" s="25">
        <v>45010</v>
      </c>
      <c r="G277" s="26">
        <v>116</v>
      </c>
      <c r="H277" s="26" t="str" cm="1">
        <f t="array" ref="H277">_xlfn.IFS(CallData[[#This Row],[Purchase Amount]]&lt;=50,"Low",CallData[[#This Row],[Purchase Amount]]&lt;=100,"Medium",CallData[[#This Row],[Purchase Amount]]&lt;=150,"High",CallData[[#This Row],[Purchase Amount]]&gt;150,"Very High")</f>
        <v>High</v>
      </c>
      <c r="I277" s="23">
        <v>3.4</v>
      </c>
      <c r="J277" s="23">
        <f>IF(MONTH('Call Data'!$F277)&lt;=6, YEAR('Call Data'!$F277), YEAR('Call Data'!$F277)+1)</f>
        <v>2023</v>
      </c>
      <c r="K277" s="23" t="str">
        <f>TEXT('Call Data'!$F277,"DDDD")</f>
        <v>Saturday</v>
      </c>
      <c r="L277" s="23" t="s">
        <v>25</v>
      </c>
      <c r="M277" s="23">
        <f>ROUND('Call Data'!$I277,0)</f>
        <v>3</v>
      </c>
    </row>
    <row r="278" spans="1:13" ht="14.25" customHeight="1" x14ac:dyDescent="0.35">
      <c r="A278" s="23" t="s">
        <v>312</v>
      </c>
      <c r="B278" s="23" t="s">
        <v>23</v>
      </c>
      <c r="C278" s="23">
        <v>158</v>
      </c>
      <c r="D278" s="24" t="str" cm="1">
        <f t="array" ref="D278">_xlfn.IFS(CallData[[#This Row],[Duration]]&lt;=15,"Very short",CallData[[#This Row],[Duration]]&lt;=30,"Short",CallData[[#This Row],[Duration]]&lt;=60,"Medium",CallData[[#This Row],[Duration]]&gt;60,"Long")</f>
        <v>Long</v>
      </c>
      <c r="E278" s="24" t="s">
        <v>24</v>
      </c>
      <c r="F278" s="25">
        <v>45010</v>
      </c>
      <c r="G278" s="26">
        <v>60</v>
      </c>
      <c r="H278" s="26" t="str" cm="1">
        <f t="array" ref="H278">_xlfn.IFS(CallData[[#This Row],[Purchase Amount]]&lt;=50,"Low",CallData[[#This Row],[Purchase Amount]]&lt;=100,"Medium",CallData[[#This Row],[Purchase Amount]]&lt;=150,"High",CallData[[#This Row],[Purchase Amount]]&gt;150,"Very High")</f>
        <v>Medium</v>
      </c>
      <c r="I278" s="23">
        <v>4.5</v>
      </c>
      <c r="J278" s="23">
        <f>IF(MONTH('Call Data'!$F278)&lt;=6, YEAR('Call Data'!$F278), YEAR('Call Data'!$F278)+1)</f>
        <v>2023</v>
      </c>
      <c r="K278" s="23" t="str">
        <f>TEXT('Call Data'!$F278,"DDDD")</f>
        <v>Saturday</v>
      </c>
      <c r="L278" s="23" t="s">
        <v>25</v>
      </c>
      <c r="M278" s="23">
        <f>ROUND('Call Data'!$I278,0)</f>
        <v>5</v>
      </c>
    </row>
    <row r="279" spans="1:13" ht="14.25" customHeight="1" x14ac:dyDescent="0.35">
      <c r="A279" s="23" t="s">
        <v>313</v>
      </c>
      <c r="B279" s="23" t="s">
        <v>50</v>
      </c>
      <c r="C279" s="23">
        <v>77</v>
      </c>
      <c r="D279" s="24" t="str" cm="1">
        <f t="array" ref="D279">_xlfn.IFS(CallData[[#This Row],[Duration]]&lt;=15,"Very short",CallData[[#This Row],[Duration]]&lt;=30,"Short",CallData[[#This Row],[Duration]]&lt;=60,"Medium",CallData[[#This Row],[Duration]]&gt;60,"Long")</f>
        <v>Long</v>
      </c>
      <c r="E279" s="24" t="s">
        <v>13</v>
      </c>
      <c r="F279" s="25">
        <v>45011</v>
      </c>
      <c r="G279" s="26">
        <v>130</v>
      </c>
      <c r="H279" s="26" t="str" cm="1">
        <f t="array" ref="H279">_xlfn.IFS(CallData[[#This Row],[Purchase Amount]]&lt;=50,"Low",CallData[[#This Row],[Purchase Amount]]&lt;=100,"Medium",CallData[[#This Row],[Purchase Amount]]&lt;=150,"High",CallData[[#This Row],[Purchase Amount]]&gt;150,"Very High")</f>
        <v>High</v>
      </c>
      <c r="I279" s="23">
        <v>4.2</v>
      </c>
      <c r="J279" s="23">
        <f>IF(MONTH('Call Data'!$F279)&lt;=6, YEAR('Call Data'!$F279), YEAR('Call Data'!$F279)+1)</f>
        <v>2023</v>
      </c>
      <c r="K279" s="23" t="str">
        <f>TEXT('Call Data'!$F279,"DDDD")</f>
        <v>Sunday</v>
      </c>
      <c r="L279" s="23" t="s">
        <v>14</v>
      </c>
      <c r="M279" s="23">
        <f>ROUND('Call Data'!$I279,0)</f>
        <v>4</v>
      </c>
    </row>
    <row r="280" spans="1:13" ht="14.25" customHeight="1" x14ac:dyDescent="0.35">
      <c r="A280" s="23" t="s">
        <v>314</v>
      </c>
      <c r="B280" s="23" t="s">
        <v>38</v>
      </c>
      <c r="C280" s="23">
        <v>118</v>
      </c>
      <c r="D280" s="24" t="str" cm="1">
        <f t="array" ref="D280">_xlfn.IFS(CallData[[#This Row],[Duration]]&lt;=15,"Very short",CallData[[#This Row],[Duration]]&lt;=30,"Short",CallData[[#This Row],[Duration]]&lt;=60,"Medium",CallData[[#This Row],[Duration]]&gt;60,"Long")</f>
        <v>Long</v>
      </c>
      <c r="E280" s="24" t="s">
        <v>31</v>
      </c>
      <c r="F280" s="25">
        <v>45011</v>
      </c>
      <c r="G280" s="26">
        <v>99</v>
      </c>
      <c r="H280" s="26" t="str" cm="1">
        <f t="array" ref="H280">_xlfn.IFS(CallData[[#This Row],[Purchase Amount]]&lt;=50,"Low",CallData[[#This Row],[Purchase Amount]]&lt;=100,"Medium",CallData[[#This Row],[Purchase Amount]]&lt;=150,"High",CallData[[#This Row],[Purchase Amount]]&gt;150,"Very High")</f>
        <v>Medium</v>
      </c>
      <c r="I280" s="23">
        <v>5</v>
      </c>
      <c r="J280" s="23">
        <f>IF(MONTH('Call Data'!$F280)&lt;=6, YEAR('Call Data'!$F280), YEAR('Call Data'!$F280)+1)</f>
        <v>2023</v>
      </c>
      <c r="K280" s="23" t="str">
        <f>TEXT('Call Data'!$F280,"DDDD")</f>
        <v>Sunday</v>
      </c>
      <c r="L280" s="23" t="s">
        <v>14</v>
      </c>
      <c r="M280" s="23">
        <f>ROUND('Call Data'!$I280,0)</f>
        <v>5</v>
      </c>
    </row>
    <row r="281" spans="1:13" ht="14.25" customHeight="1" x14ac:dyDescent="0.35">
      <c r="A281" s="23" t="s">
        <v>315</v>
      </c>
      <c r="B281" s="23" t="s">
        <v>55</v>
      </c>
      <c r="C281" s="23">
        <v>75</v>
      </c>
      <c r="D281" s="24" t="str" cm="1">
        <f t="array" ref="D281">_xlfn.IFS(CallData[[#This Row],[Duration]]&lt;=15,"Very short",CallData[[#This Row],[Duration]]&lt;=30,"Short",CallData[[#This Row],[Duration]]&lt;=60,"Medium",CallData[[#This Row],[Duration]]&gt;60,"Long")</f>
        <v>Long</v>
      </c>
      <c r="E281" s="24" t="s">
        <v>19</v>
      </c>
      <c r="F281" s="25">
        <v>45011</v>
      </c>
      <c r="G281" s="26">
        <v>135</v>
      </c>
      <c r="H281" s="26" t="str" cm="1">
        <f t="array" ref="H281">_xlfn.IFS(CallData[[#This Row],[Purchase Amount]]&lt;=50,"Low",CallData[[#This Row],[Purchase Amount]]&lt;=100,"Medium",CallData[[#This Row],[Purchase Amount]]&lt;=150,"High",CallData[[#This Row],[Purchase Amount]]&gt;150,"Very High")</f>
        <v>High</v>
      </c>
      <c r="I281" s="23">
        <v>4.7</v>
      </c>
      <c r="J281" s="23">
        <f>IF(MONTH('Call Data'!$F281)&lt;=6, YEAR('Call Data'!$F281), YEAR('Call Data'!$F281)+1)</f>
        <v>2023</v>
      </c>
      <c r="K281" s="23" t="str">
        <f>TEXT('Call Data'!$F281,"DDDD")</f>
        <v>Sunday</v>
      </c>
      <c r="L281" s="23" t="s">
        <v>14</v>
      </c>
      <c r="M281" s="23">
        <f>ROUND('Call Data'!$I281,0)</f>
        <v>5</v>
      </c>
    </row>
    <row r="282" spans="1:13" ht="14.25" customHeight="1" x14ac:dyDescent="0.35">
      <c r="A282" s="23" t="s">
        <v>316</v>
      </c>
      <c r="B282" s="23" t="s">
        <v>16</v>
      </c>
      <c r="C282" s="23">
        <v>103</v>
      </c>
      <c r="D282" s="24" t="str" cm="1">
        <f t="array" ref="D282">_xlfn.IFS(CallData[[#This Row],[Duration]]&lt;=15,"Very short",CallData[[#This Row],[Duration]]&lt;=30,"Short",CallData[[#This Row],[Duration]]&lt;=60,"Medium",CallData[[#This Row],[Duration]]&gt;60,"Long")</f>
        <v>Long</v>
      </c>
      <c r="E282" s="24" t="s">
        <v>13</v>
      </c>
      <c r="F282" s="25">
        <v>45011</v>
      </c>
      <c r="G282" s="26">
        <v>42</v>
      </c>
      <c r="H282" s="26" t="str" cm="1">
        <f t="array" ref="H282">_xlfn.IFS(CallData[[#This Row],[Purchase Amount]]&lt;=50,"Low",CallData[[#This Row],[Purchase Amount]]&lt;=100,"Medium",CallData[[#This Row],[Purchase Amount]]&lt;=150,"High",CallData[[#This Row],[Purchase Amount]]&gt;150,"Very High")</f>
        <v>Low</v>
      </c>
      <c r="I282" s="23">
        <v>2.8</v>
      </c>
      <c r="J282" s="23">
        <f>IF(MONTH('Call Data'!$F282)&lt;=6, YEAR('Call Data'!$F282), YEAR('Call Data'!$F282)+1)</f>
        <v>2023</v>
      </c>
      <c r="K282" s="23" t="str">
        <f>TEXT('Call Data'!$F282,"DDDD")</f>
        <v>Sunday</v>
      </c>
      <c r="L282" s="23" t="s">
        <v>14</v>
      </c>
      <c r="M282" s="23">
        <f>ROUND('Call Data'!$I282,0)</f>
        <v>3</v>
      </c>
    </row>
    <row r="283" spans="1:13" ht="14.25" customHeight="1" x14ac:dyDescent="0.35">
      <c r="A283" s="23" t="s">
        <v>317</v>
      </c>
      <c r="B283" s="23" t="s">
        <v>50</v>
      </c>
      <c r="C283" s="23">
        <v>116</v>
      </c>
      <c r="D283" s="24" t="str" cm="1">
        <f t="array" ref="D283">_xlfn.IFS(CallData[[#This Row],[Duration]]&lt;=15,"Very short",CallData[[#This Row],[Duration]]&lt;=30,"Short",CallData[[#This Row],[Duration]]&lt;=60,"Medium",CallData[[#This Row],[Duration]]&gt;60,"Long")</f>
        <v>Long</v>
      </c>
      <c r="E283" s="24" t="s">
        <v>31</v>
      </c>
      <c r="F283" s="25">
        <v>45012</v>
      </c>
      <c r="G283" s="26">
        <v>63</v>
      </c>
      <c r="H283" s="26" t="str" cm="1">
        <f t="array" ref="H283">_xlfn.IFS(CallData[[#This Row],[Purchase Amount]]&lt;=50,"Low",CallData[[#This Row],[Purchase Amount]]&lt;=100,"Medium",CallData[[#This Row],[Purchase Amount]]&lt;=150,"High",CallData[[#This Row],[Purchase Amount]]&gt;150,"Very High")</f>
        <v>Medium</v>
      </c>
      <c r="I283" s="23">
        <v>3.4</v>
      </c>
      <c r="J283" s="23">
        <f>IF(MONTH('Call Data'!$F283)&lt;=6, YEAR('Call Data'!$F283), YEAR('Call Data'!$F283)+1)</f>
        <v>2023</v>
      </c>
      <c r="K283" s="23" t="str">
        <f>TEXT('Call Data'!$F283,"DDDD")</f>
        <v>Monday</v>
      </c>
      <c r="L283" s="23" t="s">
        <v>14</v>
      </c>
      <c r="M283" s="23">
        <f>ROUND('Call Data'!$I283,0)</f>
        <v>3</v>
      </c>
    </row>
    <row r="284" spans="1:13" ht="14.25" customHeight="1" x14ac:dyDescent="0.35">
      <c r="A284" s="23" t="s">
        <v>318</v>
      </c>
      <c r="B284" s="23" t="s">
        <v>29</v>
      </c>
      <c r="C284" s="23">
        <v>61</v>
      </c>
      <c r="D284" s="24" t="str" cm="1">
        <f t="array" ref="D284">_xlfn.IFS(CallData[[#This Row],[Duration]]&lt;=15,"Very short",CallData[[#This Row],[Duration]]&lt;=30,"Short",CallData[[#This Row],[Duration]]&lt;=60,"Medium",CallData[[#This Row],[Duration]]&gt;60,"Long")</f>
        <v>Long</v>
      </c>
      <c r="E284" s="24" t="s">
        <v>24</v>
      </c>
      <c r="F284" s="25">
        <v>45012</v>
      </c>
      <c r="G284" s="26">
        <v>140</v>
      </c>
      <c r="H284" s="26" t="str" cm="1">
        <f t="array" ref="H284">_xlfn.IFS(CallData[[#This Row],[Purchase Amount]]&lt;=50,"Low",CallData[[#This Row],[Purchase Amount]]&lt;=100,"Medium",CallData[[#This Row],[Purchase Amount]]&lt;=150,"High",CallData[[#This Row],[Purchase Amount]]&gt;150,"Very High")</f>
        <v>High</v>
      </c>
      <c r="I284" s="23">
        <v>1.8</v>
      </c>
      <c r="J284" s="23">
        <f>IF(MONTH('Call Data'!$F284)&lt;=6, YEAR('Call Data'!$F284), YEAR('Call Data'!$F284)+1)</f>
        <v>2023</v>
      </c>
      <c r="K284" s="23" t="str">
        <f>TEXT('Call Data'!$F284,"DDDD")</f>
        <v>Monday</v>
      </c>
      <c r="L284" s="23" t="s">
        <v>14</v>
      </c>
      <c r="M284" s="23">
        <f>ROUND('Call Data'!$I284,0)</f>
        <v>2</v>
      </c>
    </row>
    <row r="285" spans="1:13" ht="14.25" customHeight="1" x14ac:dyDescent="0.35">
      <c r="A285" s="23" t="s">
        <v>319</v>
      </c>
      <c r="B285" s="23" t="s">
        <v>58</v>
      </c>
      <c r="C285" s="23">
        <v>126</v>
      </c>
      <c r="D285" s="24" t="str" cm="1">
        <f t="array" ref="D285">_xlfn.IFS(CallData[[#This Row],[Duration]]&lt;=15,"Very short",CallData[[#This Row],[Duration]]&lt;=30,"Short",CallData[[#This Row],[Duration]]&lt;=60,"Medium",CallData[[#This Row],[Duration]]&gt;60,"Long")</f>
        <v>Long</v>
      </c>
      <c r="E285" s="24" t="s">
        <v>19</v>
      </c>
      <c r="F285" s="25">
        <v>45012</v>
      </c>
      <c r="G285" s="26">
        <v>128</v>
      </c>
      <c r="H285" s="26" t="str" cm="1">
        <f t="array" ref="H285">_xlfn.IFS(CallData[[#This Row],[Purchase Amount]]&lt;=50,"Low",CallData[[#This Row],[Purchase Amount]]&lt;=100,"Medium",CallData[[#This Row],[Purchase Amount]]&lt;=150,"High",CallData[[#This Row],[Purchase Amount]]&gt;150,"Very High")</f>
        <v>High</v>
      </c>
      <c r="I285" s="23">
        <v>4.2</v>
      </c>
      <c r="J285" s="23">
        <f>IF(MONTH('Call Data'!$F285)&lt;=6, YEAR('Call Data'!$F285), YEAR('Call Data'!$F285)+1)</f>
        <v>2023</v>
      </c>
      <c r="K285" s="23" t="str">
        <f>TEXT('Call Data'!$F285,"DDDD")</f>
        <v>Monday</v>
      </c>
      <c r="L285" s="23" t="s">
        <v>25</v>
      </c>
      <c r="M285" s="23">
        <f>ROUND('Call Data'!$I285,0)</f>
        <v>4</v>
      </c>
    </row>
    <row r="286" spans="1:13" ht="14.25" customHeight="1" x14ac:dyDescent="0.35">
      <c r="A286" s="23" t="s">
        <v>320</v>
      </c>
      <c r="B286" s="23" t="s">
        <v>40</v>
      </c>
      <c r="C286" s="23">
        <v>141</v>
      </c>
      <c r="D286" s="24" t="str" cm="1">
        <f t="array" ref="D286">_xlfn.IFS(CallData[[#This Row],[Duration]]&lt;=15,"Very short",CallData[[#This Row],[Duration]]&lt;=30,"Short",CallData[[#This Row],[Duration]]&lt;=60,"Medium",CallData[[#This Row],[Duration]]&gt;60,"Long")</f>
        <v>Long</v>
      </c>
      <c r="E286" s="24" t="s">
        <v>35</v>
      </c>
      <c r="F286" s="25">
        <v>45012</v>
      </c>
      <c r="G286" s="26">
        <v>80</v>
      </c>
      <c r="H286" s="26" t="str" cm="1">
        <f t="array" ref="H286">_xlfn.IFS(CallData[[#This Row],[Purchase Amount]]&lt;=50,"Low",CallData[[#This Row],[Purchase Amount]]&lt;=100,"Medium",CallData[[#This Row],[Purchase Amount]]&lt;=150,"High",CallData[[#This Row],[Purchase Amount]]&gt;150,"Very High")</f>
        <v>Medium</v>
      </c>
      <c r="I286" s="23">
        <v>4.4000000000000004</v>
      </c>
      <c r="J286" s="23">
        <f>IF(MONTH('Call Data'!$F286)&lt;=6, YEAR('Call Data'!$F286), YEAR('Call Data'!$F286)+1)</f>
        <v>2023</v>
      </c>
      <c r="K286" s="23" t="str">
        <f>TEXT('Call Data'!$F286,"DDDD")</f>
        <v>Monday</v>
      </c>
      <c r="L286" s="23" t="s">
        <v>25</v>
      </c>
      <c r="M286" s="23">
        <f>ROUND('Call Data'!$I286,0)</f>
        <v>4</v>
      </c>
    </row>
    <row r="287" spans="1:13" ht="14.25" customHeight="1" x14ac:dyDescent="0.35">
      <c r="A287" s="23" t="s">
        <v>321</v>
      </c>
      <c r="B287" s="23" t="s">
        <v>23</v>
      </c>
      <c r="C287" s="23">
        <v>95</v>
      </c>
      <c r="D287" s="24" t="str" cm="1">
        <f t="array" ref="D287">_xlfn.IFS(CallData[[#This Row],[Duration]]&lt;=15,"Very short",CallData[[#This Row],[Duration]]&lt;=30,"Short",CallData[[#This Row],[Duration]]&lt;=60,"Medium",CallData[[#This Row],[Duration]]&gt;60,"Long")</f>
        <v>Long</v>
      </c>
      <c r="E287" s="24" t="s">
        <v>31</v>
      </c>
      <c r="F287" s="25">
        <v>45012</v>
      </c>
      <c r="G287" s="26">
        <v>28</v>
      </c>
      <c r="H287" s="26" t="str" cm="1">
        <f t="array" ref="H287">_xlfn.IFS(CallData[[#This Row],[Purchase Amount]]&lt;=50,"Low",CallData[[#This Row],[Purchase Amount]]&lt;=100,"Medium",CallData[[#This Row],[Purchase Amount]]&lt;=150,"High",CallData[[#This Row],[Purchase Amount]]&gt;150,"Very High")</f>
        <v>Low</v>
      </c>
      <c r="I287" s="23">
        <v>2.7</v>
      </c>
      <c r="J287" s="23">
        <f>IF(MONTH('Call Data'!$F287)&lt;=6, YEAR('Call Data'!$F287), YEAR('Call Data'!$F287)+1)</f>
        <v>2023</v>
      </c>
      <c r="K287" s="23" t="str">
        <f>TEXT('Call Data'!$F287,"DDDD")</f>
        <v>Monday</v>
      </c>
      <c r="L287" s="23" t="s">
        <v>14</v>
      </c>
      <c r="M287" s="23">
        <f>ROUND('Call Data'!$I287,0)</f>
        <v>3</v>
      </c>
    </row>
    <row r="288" spans="1:13" ht="14.25" customHeight="1" x14ac:dyDescent="0.35">
      <c r="A288" s="23" t="s">
        <v>322</v>
      </c>
      <c r="B288" s="23" t="s">
        <v>55</v>
      </c>
      <c r="C288" s="23">
        <v>39</v>
      </c>
      <c r="D288" s="24" t="str" cm="1">
        <f t="array" ref="D288">_xlfn.IFS(CallData[[#This Row],[Duration]]&lt;=15,"Very short",CallData[[#This Row],[Duration]]&lt;=30,"Short",CallData[[#This Row],[Duration]]&lt;=60,"Medium",CallData[[#This Row],[Duration]]&gt;60,"Long")</f>
        <v>Medium</v>
      </c>
      <c r="E288" s="24" t="s">
        <v>24</v>
      </c>
      <c r="F288" s="25">
        <v>45013</v>
      </c>
      <c r="G288" s="26">
        <v>81</v>
      </c>
      <c r="H288" s="26" t="str" cm="1">
        <f t="array" ref="H288">_xlfn.IFS(CallData[[#This Row],[Purchase Amount]]&lt;=50,"Low",CallData[[#This Row],[Purchase Amount]]&lt;=100,"Medium",CallData[[#This Row],[Purchase Amount]]&lt;=150,"High",CallData[[#This Row],[Purchase Amount]]&gt;150,"Very High")</f>
        <v>Medium</v>
      </c>
      <c r="I288" s="23">
        <v>5</v>
      </c>
      <c r="J288" s="23">
        <f>IF(MONTH('Call Data'!$F288)&lt;=6, YEAR('Call Data'!$F288), YEAR('Call Data'!$F288)+1)</f>
        <v>2023</v>
      </c>
      <c r="K288" s="23" t="str">
        <f>TEXT('Call Data'!$F288,"DDDD")</f>
        <v>Tuesday</v>
      </c>
      <c r="L288" s="23" t="s">
        <v>27</v>
      </c>
      <c r="M288" s="23">
        <f>ROUND('Call Data'!$I288,0)</f>
        <v>5</v>
      </c>
    </row>
    <row r="289" spans="1:13" ht="14.25" customHeight="1" x14ac:dyDescent="0.35">
      <c r="A289" s="23" t="s">
        <v>323</v>
      </c>
      <c r="B289" s="23" t="s">
        <v>16</v>
      </c>
      <c r="C289" s="23">
        <v>127</v>
      </c>
      <c r="D289" s="24" t="str" cm="1">
        <f t="array" ref="D289">_xlfn.IFS(CallData[[#This Row],[Duration]]&lt;=15,"Very short",CallData[[#This Row],[Duration]]&lt;=30,"Short",CallData[[#This Row],[Duration]]&lt;=60,"Medium",CallData[[#This Row],[Duration]]&gt;60,"Long")</f>
        <v>Long</v>
      </c>
      <c r="E289" s="24" t="s">
        <v>19</v>
      </c>
      <c r="F289" s="25">
        <v>45013</v>
      </c>
      <c r="G289" s="26">
        <v>99</v>
      </c>
      <c r="H289" s="26" t="str" cm="1">
        <f t="array" ref="H289">_xlfn.IFS(CallData[[#This Row],[Purchase Amount]]&lt;=50,"Low",CallData[[#This Row],[Purchase Amount]]&lt;=100,"Medium",CallData[[#This Row],[Purchase Amount]]&lt;=150,"High",CallData[[#This Row],[Purchase Amount]]&gt;150,"Very High")</f>
        <v>Medium</v>
      </c>
      <c r="I289" s="23">
        <v>3.9</v>
      </c>
      <c r="J289" s="23">
        <f>IF(MONTH('Call Data'!$F289)&lt;=6, YEAR('Call Data'!$F289), YEAR('Call Data'!$F289)+1)</f>
        <v>2023</v>
      </c>
      <c r="K289" s="23" t="str">
        <f>TEXT('Call Data'!$F289,"DDDD")</f>
        <v>Tuesday</v>
      </c>
      <c r="L289" s="23" t="s">
        <v>25</v>
      </c>
      <c r="M289" s="23">
        <f>ROUND('Call Data'!$I289,0)</f>
        <v>4</v>
      </c>
    </row>
    <row r="290" spans="1:13" ht="14.25" customHeight="1" x14ac:dyDescent="0.35">
      <c r="A290" s="23" t="s">
        <v>324</v>
      </c>
      <c r="B290" s="23" t="s">
        <v>29</v>
      </c>
      <c r="C290" s="23">
        <v>78</v>
      </c>
      <c r="D290" s="24" t="str" cm="1">
        <f t="array" ref="D290">_xlfn.IFS(CallData[[#This Row],[Duration]]&lt;=15,"Very short",CallData[[#This Row],[Duration]]&lt;=30,"Short",CallData[[#This Row],[Duration]]&lt;=60,"Medium",CallData[[#This Row],[Duration]]&gt;60,"Long")</f>
        <v>Long</v>
      </c>
      <c r="E290" s="24" t="s">
        <v>19</v>
      </c>
      <c r="F290" s="25">
        <v>45013</v>
      </c>
      <c r="G290" s="26">
        <v>43</v>
      </c>
      <c r="H290" s="26" t="str" cm="1">
        <f t="array" ref="H290">_xlfn.IFS(CallData[[#This Row],[Purchase Amount]]&lt;=50,"Low",CallData[[#This Row],[Purchase Amount]]&lt;=100,"Medium",CallData[[#This Row],[Purchase Amount]]&lt;=150,"High",CallData[[#This Row],[Purchase Amount]]&gt;150,"Very High")</f>
        <v>Low</v>
      </c>
      <c r="I290" s="23">
        <v>3.8</v>
      </c>
      <c r="J290" s="23">
        <f>IF(MONTH('Call Data'!$F290)&lt;=6, YEAR('Call Data'!$F290), YEAR('Call Data'!$F290)+1)</f>
        <v>2023</v>
      </c>
      <c r="K290" s="23" t="str">
        <f>TEXT('Call Data'!$F290,"DDDD")</f>
        <v>Tuesday</v>
      </c>
      <c r="L290" s="23" t="s">
        <v>14</v>
      </c>
      <c r="M290" s="23">
        <f>ROUND('Call Data'!$I290,0)</f>
        <v>4</v>
      </c>
    </row>
    <row r="291" spans="1:13" ht="14.25" customHeight="1" x14ac:dyDescent="0.35">
      <c r="A291" s="23" t="s">
        <v>325</v>
      </c>
      <c r="B291" s="23" t="s">
        <v>38</v>
      </c>
      <c r="C291" s="23">
        <v>40</v>
      </c>
      <c r="D291" s="24" t="str" cm="1">
        <f t="array" ref="D291">_xlfn.IFS(CallData[[#This Row],[Duration]]&lt;=15,"Very short",CallData[[#This Row],[Duration]]&lt;=30,"Short",CallData[[#This Row],[Duration]]&lt;=60,"Medium",CallData[[#This Row],[Duration]]&gt;60,"Long")</f>
        <v>Medium</v>
      </c>
      <c r="E291" s="24" t="s">
        <v>19</v>
      </c>
      <c r="F291" s="25">
        <v>45013</v>
      </c>
      <c r="G291" s="26">
        <v>34</v>
      </c>
      <c r="H291" s="26" t="str" cm="1">
        <f t="array" ref="H291">_xlfn.IFS(CallData[[#This Row],[Purchase Amount]]&lt;=50,"Low",CallData[[#This Row],[Purchase Amount]]&lt;=100,"Medium",CallData[[#This Row],[Purchase Amount]]&lt;=150,"High",CallData[[#This Row],[Purchase Amount]]&gt;150,"Very High")</f>
        <v>Low</v>
      </c>
      <c r="I291" s="23">
        <v>4.5999999999999996</v>
      </c>
      <c r="J291" s="23">
        <f>IF(MONTH('Call Data'!$F291)&lt;=6, YEAR('Call Data'!$F291), YEAR('Call Data'!$F291)+1)</f>
        <v>2023</v>
      </c>
      <c r="K291" s="23" t="str">
        <f>TEXT('Call Data'!$F291,"DDDD")</f>
        <v>Tuesday</v>
      </c>
      <c r="L291" s="23" t="s">
        <v>27</v>
      </c>
      <c r="M291" s="23">
        <f>ROUND('Call Data'!$I291,0)</f>
        <v>5</v>
      </c>
    </row>
    <row r="292" spans="1:13" ht="14.25" customHeight="1" x14ac:dyDescent="0.35">
      <c r="A292" s="23" t="s">
        <v>326</v>
      </c>
      <c r="B292" s="23" t="s">
        <v>29</v>
      </c>
      <c r="C292" s="23">
        <v>56</v>
      </c>
      <c r="D292" s="24" t="str" cm="1">
        <f t="array" ref="D292">_xlfn.IFS(CallData[[#This Row],[Duration]]&lt;=15,"Very short",CallData[[#This Row],[Duration]]&lt;=30,"Short",CallData[[#This Row],[Duration]]&lt;=60,"Medium",CallData[[#This Row],[Duration]]&gt;60,"Long")</f>
        <v>Medium</v>
      </c>
      <c r="E292" s="24" t="s">
        <v>24</v>
      </c>
      <c r="F292" s="25">
        <v>45013</v>
      </c>
      <c r="G292" s="26">
        <v>225</v>
      </c>
      <c r="H292" s="26" t="str" cm="1">
        <f t="array" ref="H292">_xlfn.IFS(CallData[[#This Row],[Purchase Amount]]&lt;=50,"Low",CallData[[#This Row],[Purchase Amount]]&lt;=100,"Medium",CallData[[#This Row],[Purchase Amount]]&lt;=150,"High",CallData[[#This Row],[Purchase Amount]]&gt;150,"Very High")</f>
        <v>Very High</v>
      </c>
      <c r="I292" s="23">
        <v>4.5999999999999996</v>
      </c>
      <c r="J292" s="23">
        <f>IF(MONTH('Call Data'!$F292)&lt;=6, YEAR('Call Data'!$F292), YEAR('Call Data'!$F292)+1)</f>
        <v>2023</v>
      </c>
      <c r="K292" s="23" t="str">
        <f>TEXT('Call Data'!$F292,"DDDD")</f>
        <v>Tuesday</v>
      </c>
      <c r="L292" s="23" t="s">
        <v>27</v>
      </c>
      <c r="M292" s="23">
        <f>ROUND('Call Data'!$I292,0)</f>
        <v>5</v>
      </c>
    </row>
    <row r="293" spans="1:13" ht="14.25" customHeight="1" x14ac:dyDescent="0.35">
      <c r="A293" s="23" t="s">
        <v>327</v>
      </c>
      <c r="B293" s="23" t="s">
        <v>55</v>
      </c>
      <c r="C293" s="23">
        <v>59</v>
      </c>
      <c r="D293" s="24" t="str" cm="1">
        <f t="array" ref="D293">_xlfn.IFS(CallData[[#This Row],[Duration]]&lt;=15,"Very short",CallData[[#This Row],[Duration]]&lt;=30,"Short",CallData[[#This Row],[Duration]]&lt;=60,"Medium",CallData[[#This Row],[Duration]]&gt;60,"Long")</f>
        <v>Medium</v>
      </c>
      <c r="E293" s="24" t="s">
        <v>35</v>
      </c>
      <c r="F293" s="25">
        <v>45013</v>
      </c>
      <c r="G293" s="26">
        <v>210</v>
      </c>
      <c r="H293" s="26" t="str" cm="1">
        <f t="array" ref="H293">_xlfn.IFS(CallData[[#This Row],[Purchase Amount]]&lt;=50,"Low",CallData[[#This Row],[Purchase Amount]]&lt;=100,"Medium",CallData[[#This Row],[Purchase Amount]]&lt;=150,"High",CallData[[#This Row],[Purchase Amount]]&gt;150,"Very High")</f>
        <v>Very High</v>
      </c>
      <c r="I293" s="23">
        <v>4.5</v>
      </c>
      <c r="J293" s="23">
        <f>IF(MONTH('Call Data'!$F293)&lt;=6, YEAR('Call Data'!$F293), YEAR('Call Data'!$F293)+1)</f>
        <v>2023</v>
      </c>
      <c r="K293" s="23" t="str">
        <f>TEXT('Call Data'!$F293,"DDDD")</f>
        <v>Tuesday</v>
      </c>
      <c r="L293" s="23" t="s">
        <v>27</v>
      </c>
      <c r="M293" s="23">
        <f>ROUND('Call Data'!$I293,0)</f>
        <v>5</v>
      </c>
    </row>
    <row r="294" spans="1:13" ht="14.25" customHeight="1" x14ac:dyDescent="0.35">
      <c r="A294" s="23" t="s">
        <v>328</v>
      </c>
      <c r="B294" s="23" t="s">
        <v>58</v>
      </c>
      <c r="C294" s="23">
        <v>30</v>
      </c>
      <c r="D294" s="24" t="str" cm="1">
        <f t="array" ref="D294">_xlfn.IFS(CallData[[#This Row],[Duration]]&lt;=15,"Very short",CallData[[#This Row],[Duration]]&lt;=30,"Short",CallData[[#This Row],[Duration]]&lt;=60,"Medium",CallData[[#This Row],[Duration]]&gt;60,"Long")</f>
        <v>Short</v>
      </c>
      <c r="E294" s="24" t="s">
        <v>19</v>
      </c>
      <c r="F294" s="25">
        <v>45013</v>
      </c>
      <c r="G294" s="26">
        <v>168</v>
      </c>
      <c r="H294" s="26" t="str" cm="1">
        <f t="array" ref="H294">_xlfn.IFS(CallData[[#This Row],[Purchase Amount]]&lt;=50,"Low",CallData[[#This Row],[Purchase Amount]]&lt;=100,"Medium",CallData[[#This Row],[Purchase Amount]]&lt;=150,"High",CallData[[#This Row],[Purchase Amount]]&gt;150,"Very High")</f>
        <v>Very High</v>
      </c>
      <c r="I294" s="23">
        <v>4.2</v>
      </c>
      <c r="J294" s="23">
        <f>IF(MONTH('Call Data'!$F294)&lt;=6, YEAR('Call Data'!$F294), YEAR('Call Data'!$F294)+1)</f>
        <v>2023</v>
      </c>
      <c r="K294" s="23" t="str">
        <f>TEXT('Call Data'!$F294,"DDDD")</f>
        <v>Tuesday</v>
      </c>
      <c r="L294" s="23" t="s">
        <v>47</v>
      </c>
      <c r="M294" s="23">
        <f>ROUND('Call Data'!$I294,0)</f>
        <v>4</v>
      </c>
    </row>
    <row r="295" spans="1:13" ht="14.25" customHeight="1" x14ac:dyDescent="0.35">
      <c r="A295" s="23" t="s">
        <v>329</v>
      </c>
      <c r="B295" s="23" t="s">
        <v>38</v>
      </c>
      <c r="C295" s="23">
        <v>63</v>
      </c>
      <c r="D295" s="24" t="str" cm="1">
        <f t="array" ref="D295">_xlfn.IFS(CallData[[#This Row],[Duration]]&lt;=15,"Very short",CallData[[#This Row],[Duration]]&lt;=30,"Short",CallData[[#This Row],[Duration]]&lt;=60,"Medium",CallData[[#This Row],[Duration]]&gt;60,"Long")</f>
        <v>Long</v>
      </c>
      <c r="E295" s="24" t="s">
        <v>13</v>
      </c>
      <c r="F295" s="25">
        <v>45014</v>
      </c>
      <c r="G295" s="26">
        <v>82</v>
      </c>
      <c r="H295" s="26" t="str" cm="1">
        <f t="array" ref="H295">_xlfn.IFS(CallData[[#This Row],[Purchase Amount]]&lt;=50,"Low",CallData[[#This Row],[Purchase Amount]]&lt;=100,"Medium",CallData[[#This Row],[Purchase Amount]]&lt;=150,"High",CallData[[#This Row],[Purchase Amount]]&gt;150,"Very High")</f>
        <v>Medium</v>
      </c>
      <c r="I295" s="23">
        <v>4.5</v>
      </c>
      <c r="J295" s="23">
        <f>IF(MONTH('Call Data'!$F295)&lt;=6, YEAR('Call Data'!$F295), YEAR('Call Data'!$F295)+1)</f>
        <v>2023</v>
      </c>
      <c r="K295" s="23" t="str">
        <f>TEXT('Call Data'!$F295,"DDDD")</f>
        <v>Wednesday</v>
      </c>
      <c r="L295" s="23" t="s">
        <v>14</v>
      </c>
      <c r="M295" s="23">
        <f>ROUND('Call Data'!$I295,0)</f>
        <v>5</v>
      </c>
    </row>
    <row r="296" spans="1:13" ht="14.25" customHeight="1" x14ac:dyDescent="0.35">
      <c r="A296" s="23" t="s">
        <v>330</v>
      </c>
      <c r="B296" s="23" t="s">
        <v>18</v>
      </c>
      <c r="C296" s="23">
        <v>56</v>
      </c>
      <c r="D296" s="24" t="str" cm="1">
        <f t="array" ref="D296">_xlfn.IFS(CallData[[#This Row],[Duration]]&lt;=15,"Very short",CallData[[#This Row],[Duration]]&lt;=30,"Short",CallData[[#This Row],[Duration]]&lt;=60,"Medium",CallData[[#This Row],[Duration]]&gt;60,"Long")</f>
        <v>Medium</v>
      </c>
      <c r="E296" s="24" t="s">
        <v>31</v>
      </c>
      <c r="F296" s="25">
        <v>45014</v>
      </c>
      <c r="G296" s="26">
        <v>88</v>
      </c>
      <c r="H296" s="26" t="str" cm="1">
        <f t="array" ref="H296">_xlfn.IFS(CallData[[#This Row],[Purchase Amount]]&lt;=50,"Low",CallData[[#This Row],[Purchase Amount]]&lt;=100,"Medium",CallData[[#This Row],[Purchase Amount]]&lt;=150,"High",CallData[[#This Row],[Purchase Amount]]&gt;150,"Very High")</f>
        <v>Medium</v>
      </c>
      <c r="I296" s="23">
        <v>4.0999999999999996</v>
      </c>
      <c r="J296" s="23">
        <f>IF(MONTH('Call Data'!$F296)&lt;=6, YEAR('Call Data'!$F296), YEAR('Call Data'!$F296)+1)</f>
        <v>2023</v>
      </c>
      <c r="K296" s="23" t="str">
        <f>TEXT('Call Data'!$F296,"DDDD")</f>
        <v>Wednesday</v>
      </c>
      <c r="L296" s="23" t="s">
        <v>27</v>
      </c>
      <c r="M296" s="23">
        <f>ROUND('Call Data'!$I296,0)</f>
        <v>4</v>
      </c>
    </row>
    <row r="297" spans="1:13" ht="14.25" customHeight="1" x14ac:dyDescent="0.35">
      <c r="A297" s="23" t="s">
        <v>331</v>
      </c>
      <c r="B297" s="23" t="s">
        <v>88</v>
      </c>
      <c r="C297" s="23">
        <v>95</v>
      </c>
      <c r="D297" s="24" t="str" cm="1">
        <f t="array" ref="D297">_xlfn.IFS(CallData[[#This Row],[Duration]]&lt;=15,"Very short",CallData[[#This Row],[Duration]]&lt;=30,"Short",CallData[[#This Row],[Duration]]&lt;=60,"Medium",CallData[[#This Row],[Duration]]&gt;60,"Long")</f>
        <v>Long</v>
      </c>
      <c r="E297" s="24" t="s">
        <v>13</v>
      </c>
      <c r="F297" s="25">
        <v>45014</v>
      </c>
      <c r="G297" s="26">
        <v>111</v>
      </c>
      <c r="H297" s="26" t="str" cm="1">
        <f t="array" ref="H297">_xlfn.IFS(CallData[[#This Row],[Purchase Amount]]&lt;=50,"Low",CallData[[#This Row],[Purchase Amount]]&lt;=100,"Medium",CallData[[#This Row],[Purchase Amount]]&lt;=150,"High",CallData[[#This Row],[Purchase Amount]]&gt;150,"Very High")</f>
        <v>High</v>
      </c>
      <c r="I297" s="23">
        <v>3.3</v>
      </c>
      <c r="J297" s="23">
        <f>IF(MONTH('Call Data'!$F297)&lt;=6, YEAR('Call Data'!$F297), YEAR('Call Data'!$F297)+1)</f>
        <v>2023</v>
      </c>
      <c r="K297" s="23" t="str">
        <f>TEXT('Call Data'!$F297,"DDDD")</f>
        <v>Wednesday</v>
      </c>
      <c r="L297" s="23" t="s">
        <v>14</v>
      </c>
      <c r="M297" s="23">
        <f>ROUND('Call Data'!$I297,0)</f>
        <v>3</v>
      </c>
    </row>
    <row r="298" spans="1:13" ht="14.25" customHeight="1" x14ac:dyDescent="0.35">
      <c r="A298" s="23" t="s">
        <v>332</v>
      </c>
      <c r="B298" s="23" t="s">
        <v>68</v>
      </c>
      <c r="C298" s="23">
        <v>128</v>
      </c>
      <c r="D298" s="24" t="str" cm="1">
        <f t="array" ref="D298">_xlfn.IFS(CallData[[#This Row],[Duration]]&lt;=15,"Very short",CallData[[#This Row],[Duration]]&lt;=30,"Short",CallData[[#This Row],[Duration]]&lt;=60,"Medium",CallData[[#This Row],[Duration]]&gt;60,"Long")</f>
        <v>Long</v>
      </c>
      <c r="E298" s="24" t="s">
        <v>35</v>
      </c>
      <c r="F298" s="25">
        <v>45014</v>
      </c>
      <c r="G298" s="26">
        <v>60</v>
      </c>
      <c r="H298" s="26" t="str" cm="1">
        <f t="array" ref="H298">_xlfn.IFS(CallData[[#This Row],[Purchase Amount]]&lt;=50,"Low",CallData[[#This Row],[Purchase Amount]]&lt;=100,"Medium",CallData[[#This Row],[Purchase Amount]]&lt;=150,"High",CallData[[#This Row],[Purchase Amount]]&gt;150,"Very High")</f>
        <v>Medium</v>
      </c>
      <c r="I298" s="23">
        <v>3.8</v>
      </c>
      <c r="J298" s="23">
        <f>IF(MONTH('Call Data'!$F298)&lt;=6, YEAR('Call Data'!$F298), YEAR('Call Data'!$F298)+1)</f>
        <v>2023</v>
      </c>
      <c r="K298" s="23" t="str">
        <f>TEXT('Call Data'!$F298,"DDDD")</f>
        <v>Wednesday</v>
      </c>
      <c r="L298" s="23" t="s">
        <v>25</v>
      </c>
      <c r="M298" s="23">
        <f>ROUND('Call Data'!$I298,0)</f>
        <v>4</v>
      </c>
    </row>
    <row r="299" spans="1:13" ht="14.25" customHeight="1" x14ac:dyDescent="0.35">
      <c r="A299" s="23" t="s">
        <v>333</v>
      </c>
      <c r="B299" s="23" t="s">
        <v>23</v>
      </c>
      <c r="C299" s="23">
        <v>49</v>
      </c>
      <c r="D299" s="24" t="str" cm="1">
        <f t="array" ref="D299">_xlfn.IFS(CallData[[#This Row],[Duration]]&lt;=15,"Very short",CallData[[#This Row],[Duration]]&lt;=30,"Short",CallData[[#This Row],[Duration]]&lt;=60,"Medium",CallData[[#This Row],[Duration]]&gt;60,"Long")</f>
        <v>Medium</v>
      </c>
      <c r="E299" s="24" t="s">
        <v>13</v>
      </c>
      <c r="F299" s="25">
        <v>45014</v>
      </c>
      <c r="G299" s="26">
        <v>80</v>
      </c>
      <c r="H299" s="26" t="str" cm="1">
        <f t="array" ref="H299">_xlfn.IFS(CallData[[#This Row],[Purchase Amount]]&lt;=50,"Low",CallData[[#This Row],[Purchase Amount]]&lt;=100,"Medium",CallData[[#This Row],[Purchase Amount]]&lt;=150,"High",CallData[[#This Row],[Purchase Amount]]&gt;150,"Very High")</f>
        <v>Medium</v>
      </c>
      <c r="I299" s="23">
        <v>3</v>
      </c>
      <c r="J299" s="23">
        <f>IF(MONTH('Call Data'!$F299)&lt;=6, YEAR('Call Data'!$F299), YEAR('Call Data'!$F299)+1)</f>
        <v>2023</v>
      </c>
      <c r="K299" s="23" t="str">
        <f>TEXT('Call Data'!$F299,"DDDD")</f>
        <v>Wednesday</v>
      </c>
      <c r="L299" s="23" t="s">
        <v>27</v>
      </c>
      <c r="M299" s="23">
        <f>ROUND('Call Data'!$I299,0)</f>
        <v>3</v>
      </c>
    </row>
    <row r="300" spans="1:13" ht="14.25" customHeight="1" x14ac:dyDescent="0.35">
      <c r="A300" s="23" t="s">
        <v>334</v>
      </c>
      <c r="B300" s="23" t="s">
        <v>68</v>
      </c>
      <c r="C300" s="23">
        <v>89</v>
      </c>
      <c r="D300" s="24" t="str" cm="1">
        <f t="array" ref="D300">_xlfn.IFS(CallData[[#This Row],[Duration]]&lt;=15,"Very short",CallData[[#This Row],[Duration]]&lt;=30,"Short",CallData[[#This Row],[Duration]]&lt;=60,"Medium",CallData[[#This Row],[Duration]]&gt;60,"Long")</f>
        <v>Long</v>
      </c>
      <c r="E300" s="24" t="s">
        <v>24</v>
      </c>
      <c r="F300" s="25">
        <v>45016</v>
      </c>
      <c r="G300" s="26">
        <v>90</v>
      </c>
      <c r="H300" s="26" t="str" cm="1">
        <f t="array" ref="H300">_xlfn.IFS(CallData[[#This Row],[Purchase Amount]]&lt;=50,"Low",CallData[[#This Row],[Purchase Amount]]&lt;=100,"Medium",CallData[[#This Row],[Purchase Amount]]&lt;=150,"High",CallData[[#This Row],[Purchase Amount]]&gt;150,"Very High")</f>
        <v>Medium</v>
      </c>
      <c r="I300" s="23">
        <v>4.5999999999999996</v>
      </c>
      <c r="J300" s="23">
        <f>IF(MONTH('Call Data'!$F300)&lt;=6, YEAR('Call Data'!$F300), YEAR('Call Data'!$F300)+1)</f>
        <v>2023</v>
      </c>
      <c r="K300" s="23" t="str">
        <f>TEXT('Call Data'!$F300,"DDDD")</f>
        <v>Friday</v>
      </c>
      <c r="L300" s="23" t="s">
        <v>14</v>
      </c>
      <c r="M300" s="23">
        <f>ROUND('Call Data'!$I300,0)</f>
        <v>5</v>
      </c>
    </row>
    <row r="301" spans="1:13" ht="14.25" customHeight="1" x14ac:dyDescent="0.35">
      <c r="A301" s="23" t="s">
        <v>335</v>
      </c>
      <c r="B301" s="23" t="s">
        <v>46</v>
      </c>
      <c r="C301" s="23">
        <v>87</v>
      </c>
      <c r="D301" s="24" t="str" cm="1">
        <f t="array" ref="D301">_xlfn.IFS(CallData[[#This Row],[Duration]]&lt;=15,"Very short",CallData[[#This Row],[Duration]]&lt;=30,"Short",CallData[[#This Row],[Duration]]&lt;=60,"Medium",CallData[[#This Row],[Duration]]&gt;60,"Long")</f>
        <v>Long</v>
      </c>
      <c r="E301" s="24" t="s">
        <v>13</v>
      </c>
      <c r="F301" s="25">
        <v>45016</v>
      </c>
      <c r="G301" s="26">
        <v>225</v>
      </c>
      <c r="H301" s="26" t="str" cm="1">
        <f t="array" ref="H301">_xlfn.IFS(CallData[[#This Row],[Purchase Amount]]&lt;=50,"Low",CallData[[#This Row],[Purchase Amount]]&lt;=100,"Medium",CallData[[#This Row],[Purchase Amount]]&lt;=150,"High",CallData[[#This Row],[Purchase Amount]]&gt;150,"Very High")</f>
        <v>Very High</v>
      </c>
      <c r="I301" s="23">
        <v>2.9</v>
      </c>
      <c r="J301" s="23">
        <f>IF(MONTH('Call Data'!$F301)&lt;=6, YEAR('Call Data'!$F301), YEAR('Call Data'!$F301)+1)</f>
        <v>2023</v>
      </c>
      <c r="K301" s="23" t="str">
        <f>TEXT('Call Data'!$F301,"DDDD")</f>
        <v>Friday</v>
      </c>
      <c r="L301" s="23" t="s">
        <v>14</v>
      </c>
      <c r="M301" s="23">
        <f>ROUND('Call Data'!$I301,0)</f>
        <v>3</v>
      </c>
    </row>
    <row r="302" spans="1:13" ht="14.25" customHeight="1" x14ac:dyDescent="0.35">
      <c r="A302" s="23" t="s">
        <v>336</v>
      </c>
      <c r="B302" s="23" t="s">
        <v>12</v>
      </c>
      <c r="C302" s="23">
        <v>60</v>
      </c>
      <c r="D302" s="24" t="str" cm="1">
        <f t="array" ref="D302">_xlfn.IFS(CallData[[#This Row],[Duration]]&lt;=15,"Very short",CallData[[#This Row],[Duration]]&lt;=30,"Short",CallData[[#This Row],[Duration]]&lt;=60,"Medium",CallData[[#This Row],[Duration]]&gt;60,"Long")</f>
        <v>Medium</v>
      </c>
      <c r="E302" s="24" t="s">
        <v>19</v>
      </c>
      <c r="F302" s="25">
        <v>45017</v>
      </c>
      <c r="G302" s="26">
        <v>215</v>
      </c>
      <c r="H302" s="26" t="str" cm="1">
        <f t="array" ref="H302">_xlfn.IFS(CallData[[#This Row],[Purchase Amount]]&lt;=50,"Low",CallData[[#This Row],[Purchase Amount]]&lt;=100,"Medium",CallData[[#This Row],[Purchase Amount]]&lt;=150,"High",CallData[[#This Row],[Purchase Amount]]&gt;150,"Very High")</f>
        <v>Very High</v>
      </c>
      <c r="I302" s="23">
        <v>3.2</v>
      </c>
      <c r="J302" s="23">
        <f>IF(MONTH('Call Data'!$F302)&lt;=6, YEAR('Call Data'!$F302), YEAR('Call Data'!$F302)+1)</f>
        <v>2023</v>
      </c>
      <c r="K302" s="23" t="str">
        <f>TEXT('Call Data'!$F302,"DDDD")</f>
        <v>Saturday</v>
      </c>
      <c r="L302" s="23" t="s">
        <v>27</v>
      </c>
      <c r="M302" s="23">
        <f>ROUND('Call Data'!$I302,0)</f>
        <v>3</v>
      </c>
    </row>
    <row r="303" spans="1:13" ht="14.25" customHeight="1" x14ac:dyDescent="0.35">
      <c r="A303" s="23" t="s">
        <v>337</v>
      </c>
      <c r="B303" s="23" t="s">
        <v>21</v>
      </c>
      <c r="C303" s="23">
        <v>42</v>
      </c>
      <c r="D303" s="24" t="str" cm="1">
        <f t="array" ref="D303">_xlfn.IFS(CallData[[#This Row],[Duration]]&lt;=15,"Very short",CallData[[#This Row],[Duration]]&lt;=30,"Short",CallData[[#This Row],[Duration]]&lt;=60,"Medium",CallData[[#This Row],[Duration]]&gt;60,"Long")</f>
        <v>Medium</v>
      </c>
      <c r="E303" s="24" t="s">
        <v>24</v>
      </c>
      <c r="F303" s="25">
        <v>45017</v>
      </c>
      <c r="G303" s="26">
        <v>45</v>
      </c>
      <c r="H303" s="26" t="str" cm="1">
        <f t="array" ref="H303">_xlfn.IFS(CallData[[#This Row],[Purchase Amount]]&lt;=50,"Low",CallData[[#This Row],[Purchase Amount]]&lt;=100,"Medium",CallData[[#This Row],[Purchase Amount]]&lt;=150,"High",CallData[[#This Row],[Purchase Amount]]&gt;150,"Very High")</f>
        <v>Low</v>
      </c>
      <c r="I303" s="23">
        <v>1.5</v>
      </c>
      <c r="J303" s="23">
        <f>IF(MONTH('Call Data'!$F303)&lt;=6, YEAR('Call Data'!$F303), YEAR('Call Data'!$F303)+1)</f>
        <v>2023</v>
      </c>
      <c r="K303" s="23" t="str">
        <f>TEXT('Call Data'!$F303,"DDDD")</f>
        <v>Saturday</v>
      </c>
      <c r="L303" s="23" t="s">
        <v>27</v>
      </c>
      <c r="M303" s="23">
        <f>ROUND('Call Data'!$I303,0)</f>
        <v>2</v>
      </c>
    </row>
    <row r="304" spans="1:13" ht="14.25" customHeight="1" x14ac:dyDescent="0.35">
      <c r="A304" s="23" t="s">
        <v>338</v>
      </c>
      <c r="B304" s="23" t="s">
        <v>34</v>
      </c>
      <c r="C304" s="23">
        <v>99</v>
      </c>
      <c r="D304" s="24" t="str" cm="1">
        <f t="array" ref="D304">_xlfn.IFS(CallData[[#This Row],[Duration]]&lt;=15,"Very short",CallData[[#This Row],[Duration]]&lt;=30,"Short",CallData[[#This Row],[Duration]]&lt;=60,"Medium",CallData[[#This Row],[Duration]]&gt;60,"Long")</f>
        <v>Long</v>
      </c>
      <c r="E304" s="24" t="s">
        <v>19</v>
      </c>
      <c r="F304" s="25">
        <v>45017</v>
      </c>
      <c r="G304" s="26">
        <v>74</v>
      </c>
      <c r="H304" s="26" t="str" cm="1">
        <f t="array" ref="H304">_xlfn.IFS(CallData[[#This Row],[Purchase Amount]]&lt;=50,"Low",CallData[[#This Row],[Purchase Amount]]&lt;=100,"Medium",CallData[[#This Row],[Purchase Amount]]&lt;=150,"High",CallData[[#This Row],[Purchase Amount]]&gt;150,"Very High")</f>
        <v>Medium</v>
      </c>
      <c r="I304" s="23">
        <v>4</v>
      </c>
      <c r="J304" s="23">
        <f>IF(MONTH('Call Data'!$F304)&lt;=6, YEAR('Call Data'!$F304), YEAR('Call Data'!$F304)+1)</f>
        <v>2023</v>
      </c>
      <c r="K304" s="23" t="str">
        <f>TEXT('Call Data'!$F304,"DDDD")</f>
        <v>Saturday</v>
      </c>
      <c r="L304" s="23" t="s">
        <v>14</v>
      </c>
      <c r="M304" s="23">
        <f>ROUND('Call Data'!$I304,0)</f>
        <v>4</v>
      </c>
    </row>
    <row r="305" spans="1:13" ht="14.25" customHeight="1" x14ac:dyDescent="0.35">
      <c r="A305" s="23" t="s">
        <v>339</v>
      </c>
      <c r="B305" s="23" t="s">
        <v>18</v>
      </c>
      <c r="C305" s="23">
        <v>20</v>
      </c>
      <c r="D305" s="24" t="str" cm="1">
        <f t="array" ref="D305">_xlfn.IFS(CallData[[#This Row],[Duration]]&lt;=15,"Very short",CallData[[#This Row],[Duration]]&lt;=30,"Short",CallData[[#This Row],[Duration]]&lt;=60,"Medium",CallData[[#This Row],[Duration]]&gt;60,"Long")</f>
        <v>Short</v>
      </c>
      <c r="E305" s="24" t="s">
        <v>24</v>
      </c>
      <c r="F305" s="25">
        <v>45017</v>
      </c>
      <c r="G305" s="26">
        <v>60</v>
      </c>
      <c r="H305" s="26" t="str" cm="1">
        <f t="array" ref="H305">_xlfn.IFS(CallData[[#This Row],[Purchase Amount]]&lt;=50,"Low",CallData[[#This Row],[Purchase Amount]]&lt;=100,"Medium",CallData[[#This Row],[Purchase Amount]]&lt;=150,"High",CallData[[#This Row],[Purchase Amount]]&gt;150,"Very High")</f>
        <v>Medium</v>
      </c>
      <c r="I305" s="23">
        <v>3.6</v>
      </c>
      <c r="J305" s="23">
        <f>IF(MONTH('Call Data'!$F305)&lt;=6, YEAR('Call Data'!$F305), YEAR('Call Data'!$F305)+1)</f>
        <v>2023</v>
      </c>
      <c r="K305" s="23" t="str">
        <f>TEXT('Call Data'!$F305,"DDDD")</f>
        <v>Saturday</v>
      </c>
      <c r="L305" s="23" t="s">
        <v>47</v>
      </c>
      <c r="M305" s="23">
        <f>ROUND('Call Data'!$I305,0)</f>
        <v>4</v>
      </c>
    </row>
    <row r="306" spans="1:13" ht="14.25" customHeight="1" x14ac:dyDescent="0.35">
      <c r="A306" s="23" t="s">
        <v>340</v>
      </c>
      <c r="B306" s="23" t="s">
        <v>38</v>
      </c>
      <c r="C306" s="23">
        <v>65</v>
      </c>
      <c r="D306" s="24" t="str" cm="1">
        <f t="array" ref="D306">_xlfn.IFS(CallData[[#This Row],[Duration]]&lt;=15,"Very short",CallData[[#This Row],[Duration]]&lt;=30,"Short",CallData[[#This Row],[Duration]]&lt;=60,"Medium",CallData[[#This Row],[Duration]]&gt;60,"Long")</f>
        <v>Long</v>
      </c>
      <c r="E306" s="24" t="s">
        <v>19</v>
      </c>
      <c r="F306" s="25">
        <v>45017</v>
      </c>
      <c r="G306" s="26">
        <v>64</v>
      </c>
      <c r="H306" s="26" t="str" cm="1">
        <f t="array" ref="H306">_xlfn.IFS(CallData[[#This Row],[Purchase Amount]]&lt;=50,"Low",CallData[[#This Row],[Purchase Amount]]&lt;=100,"Medium",CallData[[#This Row],[Purchase Amount]]&lt;=150,"High",CallData[[#This Row],[Purchase Amount]]&gt;150,"Very High")</f>
        <v>Medium</v>
      </c>
      <c r="I306" s="23">
        <v>3.7</v>
      </c>
      <c r="J306" s="23">
        <f>IF(MONTH('Call Data'!$F306)&lt;=6, YEAR('Call Data'!$F306), YEAR('Call Data'!$F306)+1)</f>
        <v>2023</v>
      </c>
      <c r="K306" s="23" t="str">
        <f>TEXT('Call Data'!$F306,"DDDD")</f>
        <v>Saturday</v>
      </c>
      <c r="L306" s="23" t="s">
        <v>14</v>
      </c>
      <c r="M306" s="23">
        <f>ROUND('Call Data'!$I306,0)</f>
        <v>4</v>
      </c>
    </row>
    <row r="307" spans="1:13" ht="14.25" customHeight="1" x14ac:dyDescent="0.35">
      <c r="A307" s="23" t="s">
        <v>341</v>
      </c>
      <c r="B307" s="23" t="s">
        <v>58</v>
      </c>
      <c r="C307" s="23">
        <v>71</v>
      </c>
      <c r="D307" s="24" t="str" cm="1">
        <f t="array" ref="D307">_xlfn.IFS(CallData[[#This Row],[Duration]]&lt;=15,"Very short",CallData[[#This Row],[Duration]]&lt;=30,"Short",CallData[[#This Row],[Duration]]&lt;=60,"Medium",CallData[[#This Row],[Duration]]&gt;60,"Long")</f>
        <v>Long</v>
      </c>
      <c r="E307" s="24" t="s">
        <v>13</v>
      </c>
      <c r="F307" s="25">
        <v>45018</v>
      </c>
      <c r="G307" s="26">
        <v>110</v>
      </c>
      <c r="H307" s="26" t="str" cm="1">
        <f t="array" ref="H307">_xlfn.IFS(CallData[[#This Row],[Purchase Amount]]&lt;=50,"Low",CallData[[#This Row],[Purchase Amount]]&lt;=100,"Medium",CallData[[#This Row],[Purchase Amount]]&lt;=150,"High",CallData[[#This Row],[Purchase Amount]]&gt;150,"Very High")</f>
        <v>High</v>
      </c>
      <c r="I307" s="23">
        <v>4.8</v>
      </c>
      <c r="J307" s="23">
        <f>IF(MONTH('Call Data'!$F307)&lt;=6, YEAR('Call Data'!$F307), YEAR('Call Data'!$F307)+1)</f>
        <v>2023</v>
      </c>
      <c r="K307" s="23" t="str">
        <f>TEXT('Call Data'!$F307,"DDDD")</f>
        <v>Sunday</v>
      </c>
      <c r="L307" s="23" t="s">
        <v>14</v>
      </c>
      <c r="M307" s="23">
        <f>ROUND('Call Data'!$I307,0)</f>
        <v>5</v>
      </c>
    </row>
    <row r="308" spans="1:13" ht="14.25" customHeight="1" x14ac:dyDescent="0.35">
      <c r="A308" s="23" t="s">
        <v>342</v>
      </c>
      <c r="B308" s="23" t="s">
        <v>16</v>
      </c>
      <c r="C308" s="23">
        <v>95</v>
      </c>
      <c r="D308" s="24" t="str" cm="1">
        <f t="array" ref="D308">_xlfn.IFS(CallData[[#This Row],[Duration]]&lt;=15,"Very short",CallData[[#This Row],[Duration]]&lt;=30,"Short",CallData[[#This Row],[Duration]]&lt;=60,"Medium",CallData[[#This Row],[Duration]]&gt;60,"Long")</f>
        <v>Long</v>
      </c>
      <c r="E308" s="24" t="s">
        <v>35</v>
      </c>
      <c r="F308" s="25">
        <v>45018</v>
      </c>
      <c r="G308" s="26">
        <v>52</v>
      </c>
      <c r="H308" s="26" t="str" cm="1">
        <f t="array" ref="H308">_xlfn.IFS(CallData[[#This Row],[Purchase Amount]]&lt;=50,"Low",CallData[[#This Row],[Purchase Amount]]&lt;=100,"Medium",CallData[[#This Row],[Purchase Amount]]&lt;=150,"High",CallData[[#This Row],[Purchase Amount]]&gt;150,"Very High")</f>
        <v>Medium</v>
      </c>
      <c r="I308" s="23">
        <v>1.2</v>
      </c>
      <c r="J308" s="23">
        <f>IF(MONTH('Call Data'!$F308)&lt;=6, YEAR('Call Data'!$F308), YEAR('Call Data'!$F308)+1)</f>
        <v>2023</v>
      </c>
      <c r="K308" s="23" t="str">
        <f>TEXT('Call Data'!$F308,"DDDD")</f>
        <v>Sunday</v>
      </c>
      <c r="L308" s="23" t="s">
        <v>14</v>
      </c>
      <c r="M308" s="23">
        <f>ROUND('Call Data'!$I308,0)</f>
        <v>1</v>
      </c>
    </row>
    <row r="309" spans="1:13" ht="14.25" customHeight="1" x14ac:dyDescent="0.35">
      <c r="A309" s="23" t="s">
        <v>343</v>
      </c>
      <c r="B309" s="23" t="s">
        <v>18</v>
      </c>
      <c r="C309" s="23">
        <v>81</v>
      </c>
      <c r="D309" s="24" t="str" cm="1">
        <f t="array" ref="D309">_xlfn.IFS(CallData[[#This Row],[Duration]]&lt;=15,"Very short",CallData[[#This Row],[Duration]]&lt;=30,"Short",CallData[[#This Row],[Duration]]&lt;=60,"Medium",CallData[[#This Row],[Duration]]&gt;60,"Long")</f>
        <v>Long</v>
      </c>
      <c r="E309" s="24" t="s">
        <v>31</v>
      </c>
      <c r="F309" s="25">
        <v>45019</v>
      </c>
      <c r="G309" s="26">
        <v>160</v>
      </c>
      <c r="H309" s="26" t="str" cm="1">
        <f t="array" ref="H309">_xlfn.IFS(CallData[[#This Row],[Purchase Amount]]&lt;=50,"Low",CallData[[#This Row],[Purchase Amount]]&lt;=100,"Medium",CallData[[#This Row],[Purchase Amount]]&lt;=150,"High",CallData[[#This Row],[Purchase Amount]]&gt;150,"Very High")</f>
        <v>Very High</v>
      </c>
      <c r="I309" s="23">
        <v>4.7</v>
      </c>
      <c r="J309" s="23">
        <f>IF(MONTH('Call Data'!$F309)&lt;=6, YEAR('Call Data'!$F309), YEAR('Call Data'!$F309)+1)</f>
        <v>2023</v>
      </c>
      <c r="K309" s="23" t="str">
        <f>TEXT('Call Data'!$F309,"DDDD")</f>
        <v>Monday</v>
      </c>
      <c r="L309" s="23" t="s">
        <v>14</v>
      </c>
      <c r="M309" s="23">
        <f>ROUND('Call Data'!$I309,0)</f>
        <v>5</v>
      </c>
    </row>
    <row r="310" spans="1:13" ht="14.25" customHeight="1" x14ac:dyDescent="0.35">
      <c r="A310" s="23" t="s">
        <v>344</v>
      </c>
      <c r="B310" s="23" t="s">
        <v>50</v>
      </c>
      <c r="C310" s="23">
        <v>137</v>
      </c>
      <c r="D310" s="24" t="str" cm="1">
        <f t="array" ref="D310">_xlfn.IFS(CallData[[#This Row],[Duration]]&lt;=15,"Very short",CallData[[#This Row],[Duration]]&lt;=30,"Short",CallData[[#This Row],[Duration]]&lt;=60,"Medium",CallData[[#This Row],[Duration]]&gt;60,"Long")</f>
        <v>Long</v>
      </c>
      <c r="E310" s="24" t="s">
        <v>31</v>
      </c>
      <c r="F310" s="25">
        <v>45019</v>
      </c>
      <c r="G310" s="26">
        <v>215</v>
      </c>
      <c r="H310" s="26" t="str" cm="1">
        <f t="array" ref="H310">_xlfn.IFS(CallData[[#This Row],[Purchase Amount]]&lt;=50,"Low",CallData[[#This Row],[Purchase Amount]]&lt;=100,"Medium",CallData[[#This Row],[Purchase Amount]]&lt;=150,"High",CallData[[#This Row],[Purchase Amount]]&gt;150,"Very High")</f>
        <v>Very High</v>
      </c>
      <c r="I310" s="23">
        <v>4.7</v>
      </c>
      <c r="J310" s="23">
        <f>IF(MONTH('Call Data'!$F310)&lt;=6, YEAR('Call Data'!$F310), YEAR('Call Data'!$F310)+1)</f>
        <v>2023</v>
      </c>
      <c r="K310" s="23" t="str">
        <f>TEXT('Call Data'!$F310,"DDDD")</f>
        <v>Monday</v>
      </c>
      <c r="L310" s="23" t="s">
        <v>25</v>
      </c>
      <c r="M310" s="23">
        <f>ROUND('Call Data'!$I310,0)</f>
        <v>5</v>
      </c>
    </row>
    <row r="311" spans="1:13" ht="14.25" customHeight="1" x14ac:dyDescent="0.35">
      <c r="A311" s="23" t="s">
        <v>345</v>
      </c>
      <c r="B311" s="23" t="s">
        <v>50</v>
      </c>
      <c r="C311" s="23">
        <v>40</v>
      </c>
      <c r="D311" s="24" t="str" cm="1">
        <f t="array" ref="D311">_xlfn.IFS(CallData[[#This Row],[Duration]]&lt;=15,"Very short",CallData[[#This Row],[Duration]]&lt;=30,"Short",CallData[[#This Row],[Duration]]&lt;=60,"Medium",CallData[[#This Row],[Duration]]&gt;60,"Long")</f>
        <v>Medium</v>
      </c>
      <c r="E311" s="24" t="s">
        <v>35</v>
      </c>
      <c r="F311" s="25">
        <v>45019</v>
      </c>
      <c r="G311" s="26">
        <v>220</v>
      </c>
      <c r="H311" s="26" t="str" cm="1">
        <f t="array" ref="H311">_xlfn.IFS(CallData[[#This Row],[Purchase Amount]]&lt;=50,"Low",CallData[[#This Row],[Purchase Amount]]&lt;=100,"Medium",CallData[[#This Row],[Purchase Amount]]&lt;=150,"High",CallData[[#This Row],[Purchase Amount]]&gt;150,"Very High")</f>
        <v>Very High</v>
      </c>
      <c r="I311" s="23">
        <v>4.5</v>
      </c>
      <c r="J311" s="23">
        <f>IF(MONTH('Call Data'!$F311)&lt;=6, YEAR('Call Data'!$F311), YEAR('Call Data'!$F311)+1)</f>
        <v>2023</v>
      </c>
      <c r="K311" s="23" t="str">
        <f>TEXT('Call Data'!$F311,"DDDD")</f>
        <v>Monday</v>
      </c>
      <c r="L311" s="23" t="s">
        <v>27</v>
      </c>
      <c r="M311" s="23">
        <f>ROUND('Call Data'!$I311,0)</f>
        <v>5</v>
      </c>
    </row>
    <row r="312" spans="1:13" ht="14.25" customHeight="1" x14ac:dyDescent="0.35">
      <c r="A312" s="23" t="s">
        <v>346</v>
      </c>
      <c r="B312" s="23" t="s">
        <v>34</v>
      </c>
      <c r="C312" s="23">
        <v>111</v>
      </c>
      <c r="D312" s="24" t="str" cm="1">
        <f t="array" ref="D312">_xlfn.IFS(CallData[[#This Row],[Duration]]&lt;=15,"Very short",CallData[[#This Row],[Duration]]&lt;=30,"Short",CallData[[#This Row],[Duration]]&lt;=60,"Medium",CallData[[#This Row],[Duration]]&gt;60,"Long")</f>
        <v>Long</v>
      </c>
      <c r="E312" s="24" t="s">
        <v>19</v>
      </c>
      <c r="F312" s="25">
        <v>45020</v>
      </c>
      <c r="G312" s="26">
        <v>175</v>
      </c>
      <c r="H312" s="26" t="str" cm="1">
        <f t="array" ref="H312">_xlfn.IFS(CallData[[#This Row],[Purchase Amount]]&lt;=50,"Low",CallData[[#This Row],[Purchase Amount]]&lt;=100,"Medium",CallData[[#This Row],[Purchase Amount]]&lt;=150,"High",CallData[[#This Row],[Purchase Amount]]&gt;150,"Very High")</f>
        <v>Very High</v>
      </c>
      <c r="I312" s="23">
        <v>3.5</v>
      </c>
      <c r="J312" s="23">
        <f>IF(MONTH('Call Data'!$F312)&lt;=6, YEAR('Call Data'!$F312), YEAR('Call Data'!$F312)+1)</f>
        <v>2023</v>
      </c>
      <c r="K312" s="23" t="str">
        <f>TEXT('Call Data'!$F312,"DDDD")</f>
        <v>Tuesday</v>
      </c>
      <c r="L312" s="23" t="s">
        <v>14</v>
      </c>
      <c r="M312" s="23">
        <f>ROUND('Call Data'!$I312,0)</f>
        <v>4</v>
      </c>
    </row>
    <row r="313" spans="1:13" ht="14.25" customHeight="1" x14ac:dyDescent="0.35">
      <c r="A313" s="23" t="s">
        <v>347</v>
      </c>
      <c r="B313" s="23" t="s">
        <v>58</v>
      </c>
      <c r="C313" s="23">
        <v>106</v>
      </c>
      <c r="D313" s="24" t="str" cm="1">
        <f t="array" ref="D313">_xlfn.IFS(CallData[[#This Row],[Duration]]&lt;=15,"Very short",CallData[[#This Row],[Duration]]&lt;=30,"Short",CallData[[#This Row],[Duration]]&lt;=60,"Medium",CallData[[#This Row],[Duration]]&gt;60,"Long")</f>
        <v>Long</v>
      </c>
      <c r="E313" s="24" t="s">
        <v>19</v>
      </c>
      <c r="F313" s="25">
        <v>45020</v>
      </c>
      <c r="G313" s="26">
        <v>145</v>
      </c>
      <c r="H313" s="26" t="str" cm="1">
        <f t="array" ref="H313">_xlfn.IFS(CallData[[#This Row],[Purchase Amount]]&lt;=50,"Low",CallData[[#This Row],[Purchase Amount]]&lt;=100,"Medium",CallData[[#This Row],[Purchase Amount]]&lt;=150,"High",CallData[[#This Row],[Purchase Amount]]&gt;150,"Very High")</f>
        <v>High</v>
      </c>
      <c r="I313" s="23">
        <v>4.0999999999999996</v>
      </c>
      <c r="J313" s="23">
        <f>IF(MONTH('Call Data'!$F313)&lt;=6, YEAR('Call Data'!$F313), YEAR('Call Data'!$F313)+1)</f>
        <v>2023</v>
      </c>
      <c r="K313" s="23" t="str">
        <f>TEXT('Call Data'!$F313,"DDDD")</f>
        <v>Tuesday</v>
      </c>
      <c r="L313" s="23" t="s">
        <v>14</v>
      </c>
      <c r="M313" s="23">
        <f>ROUND('Call Data'!$I313,0)</f>
        <v>4</v>
      </c>
    </row>
    <row r="314" spans="1:13" ht="14.25" customHeight="1" x14ac:dyDescent="0.35">
      <c r="A314" s="23" t="s">
        <v>348</v>
      </c>
      <c r="B314" s="23" t="s">
        <v>21</v>
      </c>
      <c r="C314" s="23">
        <v>133</v>
      </c>
      <c r="D314" s="24" t="str" cm="1">
        <f t="array" ref="D314">_xlfn.IFS(CallData[[#This Row],[Duration]]&lt;=15,"Very short",CallData[[#This Row],[Duration]]&lt;=30,"Short",CallData[[#This Row],[Duration]]&lt;=60,"Medium",CallData[[#This Row],[Duration]]&gt;60,"Long")</f>
        <v>Long</v>
      </c>
      <c r="E314" s="24" t="s">
        <v>24</v>
      </c>
      <c r="F314" s="25">
        <v>45020</v>
      </c>
      <c r="G314" s="26">
        <v>72</v>
      </c>
      <c r="H314" s="26" t="str" cm="1">
        <f t="array" ref="H314">_xlfn.IFS(CallData[[#This Row],[Purchase Amount]]&lt;=50,"Low",CallData[[#This Row],[Purchase Amount]]&lt;=100,"Medium",CallData[[#This Row],[Purchase Amount]]&lt;=150,"High",CallData[[#This Row],[Purchase Amount]]&gt;150,"Very High")</f>
        <v>Medium</v>
      </c>
      <c r="I314" s="23">
        <v>4.4000000000000004</v>
      </c>
      <c r="J314" s="23">
        <f>IF(MONTH('Call Data'!$F314)&lt;=6, YEAR('Call Data'!$F314), YEAR('Call Data'!$F314)+1)</f>
        <v>2023</v>
      </c>
      <c r="K314" s="23" t="str">
        <f>TEXT('Call Data'!$F314,"DDDD")</f>
        <v>Tuesday</v>
      </c>
      <c r="L314" s="23" t="s">
        <v>25</v>
      </c>
      <c r="M314" s="23">
        <f>ROUND('Call Data'!$I314,0)</f>
        <v>4</v>
      </c>
    </row>
    <row r="315" spans="1:13" ht="14.25" customHeight="1" x14ac:dyDescent="0.35">
      <c r="A315" s="23" t="s">
        <v>349</v>
      </c>
      <c r="B315" s="23" t="s">
        <v>29</v>
      </c>
      <c r="C315" s="23">
        <v>38</v>
      </c>
      <c r="D315" s="24" t="str" cm="1">
        <f t="array" ref="D315">_xlfn.IFS(CallData[[#This Row],[Duration]]&lt;=15,"Very short",CallData[[#This Row],[Duration]]&lt;=30,"Short",CallData[[#This Row],[Duration]]&lt;=60,"Medium",CallData[[#This Row],[Duration]]&gt;60,"Long")</f>
        <v>Medium</v>
      </c>
      <c r="E315" s="24" t="s">
        <v>19</v>
      </c>
      <c r="F315" s="25">
        <v>45021</v>
      </c>
      <c r="G315" s="26">
        <v>81</v>
      </c>
      <c r="H315" s="26" t="str" cm="1">
        <f t="array" ref="H315">_xlfn.IFS(CallData[[#This Row],[Purchase Amount]]&lt;=50,"Low",CallData[[#This Row],[Purchase Amount]]&lt;=100,"Medium",CallData[[#This Row],[Purchase Amount]]&lt;=150,"High",CallData[[#This Row],[Purchase Amount]]&gt;150,"Very High")</f>
        <v>Medium</v>
      </c>
      <c r="I315" s="23">
        <v>3.6</v>
      </c>
      <c r="J315" s="23">
        <f>IF(MONTH('Call Data'!$F315)&lt;=6, YEAR('Call Data'!$F315), YEAR('Call Data'!$F315)+1)</f>
        <v>2023</v>
      </c>
      <c r="K315" s="23" t="str">
        <f>TEXT('Call Data'!$F315,"DDDD")</f>
        <v>Wednesday</v>
      </c>
      <c r="L315" s="23" t="s">
        <v>27</v>
      </c>
      <c r="M315" s="23">
        <f>ROUND('Call Data'!$I315,0)</f>
        <v>4</v>
      </c>
    </row>
    <row r="316" spans="1:13" ht="14.25" customHeight="1" x14ac:dyDescent="0.35">
      <c r="A316" s="23" t="s">
        <v>350</v>
      </c>
      <c r="B316" s="23" t="s">
        <v>55</v>
      </c>
      <c r="C316" s="23">
        <v>130</v>
      </c>
      <c r="D316" s="24" t="str" cm="1">
        <f t="array" ref="D316">_xlfn.IFS(CallData[[#This Row],[Duration]]&lt;=15,"Very short",CallData[[#This Row],[Duration]]&lt;=30,"Short",CallData[[#This Row],[Duration]]&lt;=60,"Medium",CallData[[#This Row],[Duration]]&gt;60,"Long")</f>
        <v>Long</v>
      </c>
      <c r="E316" s="24" t="s">
        <v>35</v>
      </c>
      <c r="F316" s="25">
        <v>45021</v>
      </c>
      <c r="G316" s="26">
        <v>54</v>
      </c>
      <c r="H316" s="26" t="str" cm="1">
        <f t="array" ref="H316">_xlfn.IFS(CallData[[#This Row],[Purchase Amount]]&lt;=50,"Low",CallData[[#This Row],[Purchase Amount]]&lt;=100,"Medium",CallData[[#This Row],[Purchase Amount]]&lt;=150,"High",CallData[[#This Row],[Purchase Amount]]&gt;150,"Very High")</f>
        <v>Medium</v>
      </c>
      <c r="I316" s="23">
        <v>4.0999999999999996</v>
      </c>
      <c r="J316" s="23">
        <f>IF(MONTH('Call Data'!$F316)&lt;=6, YEAR('Call Data'!$F316), YEAR('Call Data'!$F316)+1)</f>
        <v>2023</v>
      </c>
      <c r="K316" s="23" t="str">
        <f>TEXT('Call Data'!$F316,"DDDD")</f>
        <v>Wednesday</v>
      </c>
      <c r="L316" s="23" t="s">
        <v>25</v>
      </c>
      <c r="M316" s="23">
        <f>ROUND('Call Data'!$I316,0)</f>
        <v>4</v>
      </c>
    </row>
    <row r="317" spans="1:13" ht="14.25" customHeight="1" x14ac:dyDescent="0.35">
      <c r="A317" s="23" t="s">
        <v>351</v>
      </c>
      <c r="B317" s="23" t="s">
        <v>38</v>
      </c>
      <c r="C317" s="23">
        <v>23</v>
      </c>
      <c r="D317" s="24" t="str" cm="1">
        <f t="array" ref="D317">_xlfn.IFS(CallData[[#This Row],[Duration]]&lt;=15,"Very short",CallData[[#This Row],[Duration]]&lt;=30,"Short",CallData[[#This Row],[Duration]]&lt;=60,"Medium",CallData[[#This Row],[Duration]]&gt;60,"Long")</f>
        <v>Short</v>
      </c>
      <c r="E317" s="24" t="s">
        <v>24</v>
      </c>
      <c r="F317" s="25">
        <v>45021</v>
      </c>
      <c r="G317" s="26">
        <v>105</v>
      </c>
      <c r="H317" s="26" t="str" cm="1">
        <f t="array" ref="H317">_xlfn.IFS(CallData[[#This Row],[Purchase Amount]]&lt;=50,"Low",CallData[[#This Row],[Purchase Amount]]&lt;=100,"Medium",CallData[[#This Row],[Purchase Amount]]&lt;=150,"High",CallData[[#This Row],[Purchase Amount]]&gt;150,"Very High")</f>
        <v>High</v>
      </c>
      <c r="I317" s="23">
        <v>4.8</v>
      </c>
      <c r="J317" s="23">
        <f>IF(MONTH('Call Data'!$F317)&lt;=6, YEAR('Call Data'!$F317), YEAR('Call Data'!$F317)+1)</f>
        <v>2023</v>
      </c>
      <c r="K317" s="23" t="str">
        <f>TEXT('Call Data'!$F317,"DDDD")</f>
        <v>Wednesday</v>
      </c>
      <c r="L317" s="23" t="s">
        <v>47</v>
      </c>
      <c r="M317" s="23">
        <f>ROUND('Call Data'!$I317,0)</f>
        <v>5</v>
      </c>
    </row>
    <row r="318" spans="1:13" ht="14.25" customHeight="1" x14ac:dyDescent="0.35">
      <c r="A318" s="23" t="s">
        <v>352</v>
      </c>
      <c r="B318" s="23" t="s">
        <v>55</v>
      </c>
      <c r="C318" s="23">
        <v>124</v>
      </c>
      <c r="D318" s="24" t="str" cm="1">
        <f t="array" ref="D318">_xlfn.IFS(CallData[[#This Row],[Duration]]&lt;=15,"Very short",CallData[[#This Row],[Duration]]&lt;=30,"Short",CallData[[#This Row],[Duration]]&lt;=60,"Medium",CallData[[#This Row],[Duration]]&gt;60,"Long")</f>
        <v>Long</v>
      </c>
      <c r="E318" s="24" t="s">
        <v>19</v>
      </c>
      <c r="F318" s="25">
        <v>45022</v>
      </c>
      <c r="G318" s="26">
        <v>176</v>
      </c>
      <c r="H318" s="26" t="str" cm="1">
        <f t="array" ref="H318">_xlfn.IFS(CallData[[#This Row],[Purchase Amount]]&lt;=50,"Low",CallData[[#This Row],[Purchase Amount]]&lt;=100,"Medium",CallData[[#This Row],[Purchase Amount]]&lt;=150,"High",CallData[[#This Row],[Purchase Amount]]&gt;150,"Very High")</f>
        <v>Very High</v>
      </c>
      <c r="I318" s="23">
        <v>3.9</v>
      </c>
      <c r="J318" s="23">
        <f>IF(MONTH('Call Data'!$F318)&lt;=6, YEAR('Call Data'!$F318), YEAR('Call Data'!$F318)+1)</f>
        <v>2023</v>
      </c>
      <c r="K318" s="23" t="str">
        <f>TEXT('Call Data'!$F318,"DDDD")</f>
        <v>Thursday</v>
      </c>
      <c r="L318" s="23" t="s">
        <v>25</v>
      </c>
      <c r="M318" s="23">
        <f>ROUND('Call Data'!$I318,0)</f>
        <v>4</v>
      </c>
    </row>
    <row r="319" spans="1:13" ht="14.25" customHeight="1" x14ac:dyDescent="0.35">
      <c r="A319" s="23" t="s">
        <v>353</v>
      </c>
      <c r="B319" s="23" t="s">
        <v>18</v>
      </c>
      <c r="C319" s="23">
        <v>107</v>
      </c>
      <c r="D319" s="24" t="str" cm="1">
        <f t="array" ref="D319">_xlfn.IFS(CallData[[#This Row],[Duration]]&lt;=15,"Very short",CallData[[#This Row],[Duration]]&lt;=30,"Short",CallData[[#This Row],[Duration]]&lt;=60,"Medium",CallData[[#This Row],[Duration]]&gt;60,"Long")</f>
        <v>Long</v>
      </c>
      <c r="E319" s="24" t="s">
        <v>19</v>
      </c>
      <c r="F319" s="25">
        <v>45022</v>
      </c>
      <c r="G319" s="26">
        <v>115</v>
      </c>
      <c r="H319" s="26" t="str" cm="1">
        <f t="array" ref="H319">_xlfn.IFS(CallData[[#This Row],[Purchase Amount]]&lt;=50,"Low",CallData[[#This Row],[Purchase Amount]]&lt;=100,"Medium",CallData[[#This Row],[Purchase Amount]]&lt;=150,"High",CallData[[#This Row],[Purchase Amount]]&gt;150,"Very High")</f>
        <v>High</v>
      </c>
      <c r="I319" s="23">
        <v>3.8</v>
      </c>
      <c r="J319" s="23">
        <f>IF(MONTH('Call Data'!$F319)&lt;=6, YEAR('Call Data'!$F319), YEAR('Call Data'!$F319)+1)</f>
        <v>2023</v>
      </c>
      <c r="K319" s="23" t="str">
        <f>TEXT('Call Data'!$F319,"DDDD")</f>
        <v>Thursday</v>
      </c>
      <c r="L319" s="23" t="s">
        <v>14</v>
      </c>
      <c r="M319" s="23">
        <f>ROUND('Call Data'!$I319,0)</f>
        <v>4</v>
      </c>
    </row>
    <row r="320" spans="1:13" ht="14.25" customHeight="1" x14ac:dyDescent="0.35">
      <c r="A320" s="23" t="s">
        <v>354</v>
      </c>
      <c r="B320" s="23" t="s">
        <v>50</v>
      </c>
      <c r="C320" s="23">
        <v>60</v>
      </c>
      <c r="D320" s="24" t="str" cm="1">
        <f t="array" ref="D320">_xlfn.IFS(CallData[[#This Row],[Duration]]&lt;=15,"Very short",CallData[[#This Row],[Duration]]&lt;=30,"Short",CallData[[#This Row],[Duration]]&lt;=60,"Medium",CallData[[#This Row],[Duration]]&gt;60,"Long")</f>
        <v>Medium</v>
      </c>
      <c r="E320" s="24" t="s">
        <v>13</v>
      </c>
      <c r="F320" s="25">
        <v>45022</v>
      </c>
      <c r="G320" s="26">
        <v>116</v>
      </c>
      <c r="H320" s="26" t="str" cm="1">
        <f t="array" ref="H320">_xlfn.IFS(CallData[[#This Row],[Purchase Amount]]&lt;=50,"Low",CallData[[#This Row],[Purchase Amount]]&lt;=100,"Medium",CallData[[#This Row],[Purchase Amount]]&lt;=150,"High",CallData[[#This Row],[Purchase Amount]]&gt;150,"Very High")</f>
        <v>High</v>
      </c>
      <c r="I320" s="23">
        <v>3.9</v>
      </c>
      <c r="J320" s="23">
        <f>IF(MONTH('Call Data'!$F320)&lt;=6, YEAR('Call Data'!$F320), YEAR('Call Data'!$F320)+1)</f>
        <v>2023</v>
      </c>
      <c r="K320" s="23" t="str">
        <f>TEXT('Call Data'!$F320,"DDDD")</f>
        <v>Thursday</v>
      </c>
      <c r="L320" s="23" t="s">
        <v>27</v>
      </c>
      <c r="M320" s="23">
        <f>ROUND('Call Data'!$I320,0)</f>
        <v>4</v>
      </c>
    </row>
    <row r="321" spans="1:13" ht="14.25" customHeight="1" x14ac:dyDescent="0.35">
      <c r="A321" s="23" t="s">
        <v>355</v>
      </c>
      <c r="B321" s="23" t="s">
        <v>50</v>
      </c>
      <c r="C321" s="23">
        <v>158</v>
      </c>
      <c r="D321" s="24" t="str" cm="1">
        <f t="array" ref="D321">_xlfn.IFS(CallData[[#This Row],[Duration]]&lt;=15,"Very short",CallData[[#This Row],[Duration]]&lt;=30,"Short",CallData[[#This Row],[Duration]]&lt;=60,"Medium",CallData[[#This Row],[Duration]]&gt;60,"Long")</f>
        <v>Long</v>
      </c>
      <c r="E321" s="24" t="s">
        <v>35</v>
      </c>
      <c r="F321" s="25">
        <v>45022</v>
      </c>
      <c r="G321" s="26">
        <v>100</v>
      </c>
      <c r="H321" s="26" t="str" cm="1">
        <f t="array" ref="H321">_xlfn.IFS(CallData[[#This Row],[Purchase Amount]]&lt;=50,"Low",CallData[[#This Row],[Purchase Amount]]&lt;=100,"Medium",CallData[[#This Row],[Purchase Amount]]&lt;=150,"High",CallData[[#This Row],[Purchase Amount]]&gt;150,"Very High")</f>
        <v>Medium</v>
      </c>
      <c r="I321" s="23">
        <v>4.0999999999999996</v>
      </c>
      <c r="J321" s="23">
        <f>IF(MONTH('Call Data'!$F321)&lt;=6, YEAR('Call Data'!$F321), YEAR('Call Data'!$F321)+1)</f>
        <v>2023</v>
      </c>
      <c r="K321" s="23" t="str">
        <f>TEXT('Call Data'!$F321,"DDDD")</f>
        <v>Thursday</v>
      </c>
      <c r="L321" s="23" t="s">
        <v>25</v>
      </c>
      <c r="M321" s="23">
        <f>ROUND('Call Data'!$I321,0)</f>
        <v>4</v>
      </c>
    </row>
    <row r="322" spans="1:13" ht="14.25" customHeight="1" x14ac:dyDescent="0.35">
      <c r="A322" s="23" t="s">
        <v>356</v>
      </c>
      <c r="B322" s="23" t="s">
        <v>46</v>
      </c>
      <c r="C322" s="23">
        <v>110</v>
      </c>
      <c r="D322" s="24" t="str" cm="1">
        <f t="array" ref="D322">_xlfn.IFS(CallData[[#This Row],[Duration]]&lt;=15,"Very short",CallData[[#This Row],[Duration]]&lt;=30,"Short",CallData[[#This Row],[Duration]]&lt;=60,"Medium",CallData[[#This Row],[Duration]]&gt;60,"Long")</f>
        <v>Long</v>
      </c>
      <c r="E322" s="24" t="s">
        <v>35</v>
      </c>
      <c r="F322" s="25">
        <v>45023</v>
      </c>
      <c r="G322" s="26">
        <v>36</v>
      </c>
      <c r="H322" s="26" t="str" cm="1">
        <f t="array" ref="H322">_xlfn.IFS(CallData[[#This Row],[Purchase Amount]]&lt;=50,"Low",CallData[[#This Row],[Purchase Amount]]&lt;=100,"Medium",CallData[[#This Row],[Purchase Amount]]&lt;=150,"High",CallData[[#This Row],[Purchase Amount]]&gt;150,"Very High")</f>
        <v>Low</v>
      </c>
      <c r="I322" s="23">
        <v>2.2000000000000002</v>
      </c>
      <c r="J322" s="23">
        <f>IF(MONTH('Call Data'!$F322)&lt;=6, YEAR('Call Data'!$F322), YEAR('Call Data'!$F322)+1)</f>
        <v>2023</v>
      </c>
      <c r="K322" s="23" t="str">
        <f>TEXT('Call Data'!$F322,"DDDD")</f>
        <v>Friday</v>
      </c>
      <c r="L322" s="23" t="s">
        <v>14</v>
      </c>
      <c r="M322" s="23">
        <f>ROUND('Call Data'!$I322,0)</f>
        <v>2</v>
      </c>
    </row>
    <row r="323" spans="1:13" ht="14.25" customHeight="1" x14ac:dyDescent="0.35">
      <c r="A323" s="23" t="s">
        <v>357</v>
      </c>
      <c r="B323" s="23" t="s">
        <v>68</v>
      </c>
      <c r="C323" s="23">
        <v>70</v>
      </c>
      <c r="D323" s="24" t="str" cm="1">
        <f t="array" ref="D323">_xlfn.IFS(CallData[[#This Row],[Duration]]&lt;=15,"Very short",CallData[[#This Row],[Duration]]&lt;=30,"Short",CallData[[#This Row],[Duration]]&lt;=60,"Medium",CallData[[#This Row],[Duration]]&gt;60,"Long")</f>
        <v>Long</v>
      </c>
      <c r="E323" s="24" t="s">
        <v>35</v>
      </c>
      <c r="F323" s="25">
        <v>45023</v>
      </c>
      <c r="G323" s="26">
        <v>114</v>
      </c>
      <c r="H323" s="26" t="str" cm="1">
        <f t="array" ref="H323">_xlfn.IFS(CallData[[#This Row],[Purchase Amount]]&lt;=50,"Low",CallData[[#This Row],[Purchase Amount]]&lt;=100,"Medium",CallData[[#This Row],[Purchase Amount]]&lt;=150,"High",CallData[[#This Row],[Purchase Amount]]&gt;150,"Very High")</f>
        <v>High</v>
      </c>
      <c r="I323" s="23">
        <v>5</v>
      </c>
      <c r="J323" s="23">
        <f>IF(MONTH('Call Data'!$F323)&lt;=6, YEAR('Call Data'!$F323), YEAR('Call Data'!$F323)+1)</f>
        <v>2023</v>
      </c>
      <c r="K323" s="23" t="str">
        <f>TEXT('Call Data'!$F323,"DDDD")</f>
        <v>Friday</v>
      </c>
      <c r="L323" s="23" t="s">
        <v>14</v>
      </c>
      <c r="M323" s="23">
        <f>ROUND('Call Data'!$I323,0)</f>
        <v>5</v>
      </c>
    </row>
    <row r="324" spans="1:13" ht="14.25" customHeight="1" x14ac:dyDescent="0.35">
      <c r="A324" s="23" t="s">
        <v>358</v>
      </c>
      <c r="B324" s="23" t="s">
        <v>68</v>
      </c>
      <c r="C324" s="23">
        <v>150</v>
      </c>
      <c r="D324" s="24" t="str" cm="1">
        <f t="array" ref="D324">_xlfn.IFS(CallData[[#This Row],[Duration]]&lt;=15,"Very short",CallData[[#This Row],[Duration]]&lt;=30,"Short",CallData[[#This Row],[Duration]]&lt;=60,"Medium",CallData[[#This Row],[Duration]]&gt;60,"Long")</f>
        <v>Long</v>
      </c>
      <c r="E324" s="24" t="s">
        <v>13</v>
      </c>
      <c r="F324" s="25">
        <v>45023</v>
      </c>
      <c r="G324" s="26">
        <v>24</v>
      </c>
      <c r="H324" s="26" t="str" cm="1">
        <f t="array" ref="H324">_xlfn.IFS(CallData[[#This Row],[Purchase Amount]]&lt;=50,"Low",CallData[[#This Row],[Purchase Amount]]&lt;=100,"Medium",CallData[[#This Row],[Purchase Amount]]&lt;=150,"High",CallData[[#This Row],[Purchase Amount]]&gt;150,"Very High")</f>
        <v>Low</v>
      </c>
      <c r="I324" s="23">
        <v>3.8</v>
      </c>
      <c r="J324" s="23">
        <f>IF(MONTH('Call Data'!$F324)&lt;=6, YEAR('Call Data'!$F324), YEAR('Call Data'!$F324)+1)</f>
        <v>2023</v>
      </c>
      <c r="K324" s="23" t="str">
        <f>TEXT('Call Data'!$F324,"DDDD")</f>
        <v>Friday</v>
      </c>
      <c r="L324" s="23" t="s">
        <v>25</v>
      </c>
      <c r="M324" s="23">
        <f>ROUND('Call Data'!$I324,0)</f>
        <v>4</v>
      </c>
    </row>
    <row r="325" spans="1:13" ht="14.25" customHeight="1" x14ac:dyDescent="0.35">
      <c r="A325" s="23" t="s">
        <v>359</v>
      </c>
      <c r="B325" s="23" t="s">
        <v>29</v>
      </c>
      <c r="C325" s="23">
        <v>36</v>
      </c>
      <c r="D325" s="24" t="str" cm="1">
        <f t="array" ref="D325">_xlfn.IFS(CallData[[#This Row],[Duration]]&lt;=15,"Very short",CallData[[#This Row],[Duration]]&lt;=30,"Short",CallData[[#This Row],[Duration]]&lt;=60,"Medium",CallData[[#This Row],[Duration]]&gt;60,"Long")</f>
        <v>Medium</v>
      </c>
      <c r="E325" s="24" t="s">
        <v>19</v>
      </c>
      <c r="F325" s="25">
        <v>45023</v>
      </c>
      <c r="G325" s="26">
        <v>135</v>
      </c>
      <c r="H325" s="26" t="str" cm="1">
        <f t="array" ref="H325">_xlfn.IFS(CallData[[#This Row],[Purchase Amount]]&lt;=50,"Low",CallData[[#This Row],[Purchase Amount]]&lt;=100,"Medium",CallData[[#This Row],[Purchase Amount]]&lt;=150,"High",CallData[[#This Row],[Purchase Amount]]&gt;150,"Very High")</f>
        <v>High</v>
      </c>
      <c r="I325" s="23">
        <v>4.5999999999999996</v>
      </c>
      <c r="J325" s="23">
        <f>IF(MONTH('Call Data'!$F325)&lt;=6, YEAR('Call Data'!$F325), YEAR('Call Data'!$F325)+1)</f>
        <v>2023</v>
      </c>
      <c r="K325" s="23" t="str">
        <f>TEXT('Call Data'!$F325,"DDDD")</f>
        <v>Friday</v>
      </c>
      <c r="L325" s="23" t="s">
        <v>27</v>
      </c>
      <c r="M325" s="23">
        <f>ROUND('Call Data'!$I325,0)</f>
        <v>5</v>
      </c>
    </row>
    <row r="326" spans="1:13" ht="14.25" customHeight="1" x14ac:dyDescent="0.35">
      <c r="A326" s="23" t="s">
        <v>360</v>
      </c>
      <c r="B326" s="23" t="s">
        <v>55</v>
      </c>
      <c r="C326" s="23">
        <v>74</v>
      </c>
      <c r="D326" s="24" t="str" cm="1">
        <f t="array" ref="D326">_xlfn.IFS(CallData[[#This Row],[Duration]]&lt;=15,"Very short",CallData[[#This Row],[Duration]]&lt;=30,"Short",CallData[[#This Row],[Duration]]&lt;=60,"Medium",CallData[[#This Row],[Duration]]&gt;60,"Long")</f>
        <v>Long</v>
      </c>
      <c r="E326" s="24" t="s">
        <v>19</v>
      </c>
      <c r="F326" s="25">
        <v>45023</v>
      </c>
      <c r="G326" s="26">
        <v>30</v>
      </c>
      <c r="H326" s="26" t="str" cm="1">
        <f t="array" ref="H326">_xlfn.IFS(CallData[[#This Row],[Purchase Amount]]&lt;=50,"Low",CallData[[#This Row],[Purchase Amount]]&lt;=100,"Medium",CallData[[#This Row],[Purchase Amount]]&lt;=150,"High",CallData[[#This Row],[Purchase Amount]]&gt;150,"Very High")</f>
        <v>Low</v>
      </c>
      <c r="I326" s="23">
        <v>4</v>
      </c>
      <c r="J326" s="23">
        <f>IF(MONTH('Call Data'!$F326)&lt;=6, YEAR('Call Data'!$F326), YEAR('Call Data'!$F326)+1)</f>
        <v>2023</v>
      </c>
      <c r="K326" s="23" t="str">
        <f>TEXT('Call Data'!$F326,"DDDD")</f>
        <v>Friday</v>
      </c>
      <c r="L326" s="23" t="s">
        <v>14</v>
      </c>
      <c r="M326" s="23">
        <f>ROUND('Call Data'!$I326,0)</f>
        <v>4</v>
      </c>
    </row>
    <row r="327" spans="1:13" ht="14.25" customHeight="1" x14ac:dyDescent="0.35">
      <c r="A327" s="23" t="s">
        <v>361</v>
      </c>
      <c r="B327" s="23" t="s">
        <v>16</v>
      </c>
      <c r="C327" s="23">
        <v>75</v>
      </c>
      <c r="D327" s="24" t="str" cm="1">
        <f t="array" ref="D327">_xlfn.IFS(CallData[[#This Row],[Duration]]&lt;=15,"Very short",CallData[[#This Row],[Duration]]&lt;=30,"Short",CallData[[#This Row],[Duration]]&lt;=60,"Medium",CallData[[#This Row],[Duration]]&gt;60,"Long")</f>
        <v>Long</v>
      </c>
      <c r="E327" s="24" t="s">
        <v>19</v>
      </c>
      <c r="F327" s="25">
        <v>45023</v>
      </c>
      <c r="G327" s="26">
        <v>84</v>
      </c>
      <c r="H327" s="26" t="str" cm="1">
        <f t="array" ref="H327">_xlfn.IFS(CallData[[#This Row],[Purchase Amount]]&lt;=50,"Low",CallData[[#This Row],[Purchase Amount]]&lt;=100,"Medium",CallData[[#This Row],[Purchase Amount]]&lt;=150,"High",CallData[[#This Row],[Purchase Amount]]&gt;150,"Very High")</f>
        <v>Medium</v>
      </c>
      <c r="I327" s="23">
        <v>2.8</v>
      </c>
      <c r="J327" s="23">
        <f>IF(MONTH('Call Data'!$F327)&lt;=6, YEAR('Call Data'!$F327), YEAR('Call Data'!$F327)+1)</f>
        <v>2023</v>
      </c>
      <c r="K327" s="23" t="str">
        <f>TEXT('Call Data'!$F327,"DDDD")</f>
        <v>Friday</v>
      </c>
      <c r="L327" s="23" t="s">
        <v>14</v>
      </c>
      <c r="M327" s="23">
        <f>ROUND('Call Data'!$I327,0)</f>
        <v>3</v>
      </c>
    </row>
    <row r="328" spans="1:13" ht="14.25" customHeight="1" x14ac:dyDescent="0.35">
      <c r="A328" s="23" t="s">
        <v>362</v>
      </c>
      <c r="B328" s="23" t="s">
        <v>88</v>
      </c>
      <c r="C328" s="23">
        <v>70</v>
      </c>
      <c r="D328" s="24" t="str" cm="1">
        <f t="array" ref="D328">_xlfn.IFS(CallData[[#This Row],[Duration]]&lt;=15,"Very short",CallData[[#This Row],[Duration]]&lt;=30,"Short",CallData[[#This Row],[Duration]]&lt;=60,"Medium",CallData[[#This Row],[Duration]]&gt;60,"Long")</f>
        <v>Long</v>
      </c>
      <c r="E328" s="24" t="s">
        <v>31</v>
      </c>
      <c r="F328" s="25">
        <v>45023</v>
      </c>
      <c r="G328" s="26">
        <v>42</v>
      </c>
      <c r="H328" s="26" t="str" cm="1">
        <f t="array" ref="H328">_xlfn.IFS(CallData[[#This Row],[Purchase Amount]]&lt;=50,"Low",CallData[[#This Row],[Purchase Amount]]&lt;=100,"Medium",CallData[[#This Row],[Purchase Amount]]&lt;=150,"High",CallData[[#This Row],[Purchase Amount]]&gt;150,"Very High")</f>
        <v>Low</v>
      </c>
      <c r="I328" s="23">
        <v>4.4000000000000004</v>
      </c>
      <c r="J328" s="23">
        <f>IF(MONTH('Call Data'!$F328)&lt;=6, YEAR('Call Data'!$F328), YEAR('Call Data'!$F328)+1)</f>
        <v>2023</v>
      </c>
      <c r="K328" s="23" t="str">
        <f>TEXT('Call Data'!$F328,"DDDD")</f>
        <v>Friday</v>
      </c>
      <c r="L328" s="23" t="s">
        <v>14</v>
      </c>
      <c r="M328" s="23">
        <f>ROUND('Call Data'!$I328,0)</f>
        <v>4</v>
      </c>
    </row>
    <row r="329" spans="1:13" ht="14.25" customHeight="1" x14ac:dyDescent="0.35">
      <c r="A329" s="23" t="s">
        <v>363</v>
      </c>
      <c r="B329" s="23" t="s">
        <v>46</v>
      </c>
      <c r="C329" s="23">
        <v>23</v>
      </c>
      <c r="D329" s="24" t="str" cm="1">
        <f t="array" ref="D329">_xlfn.IFS(CallData[[#This Row],[Duration]]&lt;=15,"Very short",CallData[[#This Row],[Duration]]&lt;=30,"Short",CallData[[#This Row],[Duration]]&lt;=60,"Medium",CallData[[#This Row],[Duration]]&gt;60,"Long")</f>
        <v>Short</v>
      </c>
      <c r="E329" s="24" t="s">
        <v>35</v>
      </c>
      <c r="F329" s="25">
        <v>45023</v>
      </c>
      <c r="G329" s="26">
        <v>117</v>
      </c>
      <c r="H329" s="26" t="str" cm="1">
        <f t="array" ref="H329">_xlfn.IFS(CallData[[#This Row],[Purchase Amount]]&lt;=50,"Low",CallData[[#This Row],[Purchase Amount]]&lt;=100,"Medium",CallData[[#This Row],[Purchase Amount]]&lt;=150,"High",CallData[[#This Row],[Purchase Amount]]&gt;150,"Very High")</f>
        <v>High</v>
      </c>
      <c r="I329" s="23">
        <v>2.4</v>
      </c>
      <c r="J329" s="23">
        <f>IF(MONTH('Call Data'!$F329)&lt;=6, YEAR('Call Data'!$F329), YEAR('Call Data'!$F329)+1)</f>
        <v>2023</v>
      </c>
      <c r="K329" s="23" t="str">
        <f>TEXT('Call Data'!$F329,"DDDD")</f>
        <v>Friday</v>
      </c>
      <c r="L329" s="23" t="s">
        <v>47</v>
      </c>
      <c r="M329" s="23">
        <f>ROUND('Call Data'!$I329,0)</f>
        <v>2</v>
      </c>
    </row>
    <row r="330" spans="1:13" ht="14.25" customHeight="1" x14ac:dyDescent="0.35">
      <c r="A330" s="23" t="s">
        <v>364</v>
      </c>
      <c r="B330" s="23" t="s">
        <v>34</v>
      </c>
      <c r="C330" s="23">
        <v>104</v>
      </c>
      <c r="D330" s="24" t="str" cm="1">
        <f t="array" ref="D330">_xlfn.IFS(CallData[[#This Row],[Duration]]&lt;=15,"Very short",CallData[[#This Row],[Duration]]&lt;=30,"Short",CallData[[#This Row],[Duration]]&lt;=60,"Medium",CallData[[#This Row],[Duration]]&gt;60,"Long")</f>
        <v>Long</v>
      </c>
      <c r="E330" s="24" t="s">
        <v>24</v>
      </c>
      <c r="F330" s="25">
        <v>45023</v>
      </c>
      <c r="G330" s="26">
        <v>164</v>
      </c>
      <c r="H330" s="26" t="str" cm="1">
        <f t="array" ref="H330">_xlfn.IFS(CallData[[#This Row],[Purchase Amount]]&lt;=50,"Low",CallData[[#This Row],[Purchase Amount]]&lt;=100,"Medium",CallData[[#This Row],[Purchase Amount]]&lt;=150,"High",CallData[[#This Row],[Purchase Amount]]&gt;150,"Very High")</f>
        <v>Very High</v>
      </c>
      <c r="I330" s="23">
        <v>4</v>
      </c>
      <c r="J330" s="23">
        <f>IF(MONTH('Call Data'!$F330)&lt;=6, YEAR('Call Data'!$F330), YEAR('Call Data'!$F330)+1)</f>
        <v>2023</v>
      </c>
      <c r="K330" s="23" t="str">
        <f>TEXT('Call Data'!$F330,"DDDD")</f>
        <v>Friday</v>
      </c>
      <c r="L330" s="23" t="s">
        <v>14</v>
      </c>
      <c r="M330" s="23">
        <f>ROUND('Call Data'!$I330,0)</f>
        <v>4</v>
      </c>
    </row>
    <row r="331" spans="1:13" ht="14.25" customHeight="1" x14ac:dyDescent="0.35">
      <c r="A331" s="23" t="s">
        <v>365</v>
      </c>
      <c r="B331" s="23" t="s">
        <v>68</v>
      </c>
      <c r="C331" s="23">
        <v>95</v>
      </c>
      <c r="D331" s="24" t="str" cm="1">
        <f t="array" ref="D331">_xlfn.IFS(CallData[[#This Row],[Duration]]&lt;=15,"Very short",CallData[[#This Row],[Duration]]&lt;=30,"Short",CallData[[#This Row],[Duration]]&lt;=60,"Medium",CallData[[#This Row],[Duration]]&gt;60,"Long")</f>
        <v>Long</v>
      </c>
      <c r="E331" s="24" t="s">
        <v>31</v>
      </c>
      <c r="F331" s="25">
        <v>45024</v>
      </c>
      <c r="G331" s="26">
        <v>123</v>
      </c>
      <c r="H331" s="26" t="str" cm="1">
        <f t="array" ref="H331">_xlfn.IFS(CallData[[#This Row],[Purchase Amount]]&lt;=50,"Low",CallData[[#This Row],[Purchase Amount]]&lt;=100,"Medium",CallData[[#This Row],[Purchase Amount]]&lt;=150,"High",CallData[[#This Row],[Purchase Amount]]&gt;150,"Very High")</f>
        <v>High</v>
      </c>
      <c r="I331" s="23">
        <v>4.4000000000000004</v>
      </c>
      <c r="J331" s="23">
        <f>IF(MONTH('Call Data'!$F331)&lt;=6, YEAR('Call Data'!$F331), YEAR('Call Data'!$F331)+1)</f>
        <v>2023</v>
      </c>
      <c r="K331" s="23" t="str">
        <f>TEXT('Call Data'!$F331,"DDDD")</f>
        <v>Saturday</v>
      </c>
      <c r="L331" s="23" t="s">
        <v>14</v>
      </c>
      <c r="M331" s="23">
        <f>ROUND('Call Data'!$I331,0)</f>
        <v>4</v>
      </c>
    </row>
    <row r="332" spans="1:13" ht="14.25" customHeight="1" x14ac:dyDescent="0.35">
      <c r="A332" s="23" t="s">
        <v>366</v>
      </c>
      <c r="B332" s="23" t="s">
        <v>23</v>
      </c>
      <c r="C332" s="23">
        <v>49</v>
      </c>
      <c r="D332" s="24" t="str" cm="1">
        <f t="array" ref="D332">_xlfn.IFS(CallData[[#This Row],[Duration]]&lt;=15,"Very short",CallData[[#This Row],[Duration]]&lt;=30,"Short",CallData[[#This Row],[Duration]]&lt;=60,"Medium",CallData[[#This Row],[Duration]]&gt;60,"Long")</f>
        <v>Medium</v>
      </c>
      <c r="E332" s="24" t="s">
        <v>13</v>
      </c>
      <c r="F332" s="25">
        <v>45024</v>
      </c>
      <c r="G332" s="26">
        <v>172</v>
      </c>
      <c r="H332" s="26" t="str" cm="1">
        <f t="array" ref="H332">_xlfn.IFS(CallData[[#This Row],[Purchase Amount]]&lt;=50,"Low",CallData[[#This Row],[Purchase Amount]]&lt;=100,"Medium",CallData[[#This Row],[Purchase Amount]]&lt;=150,"High",CallData[[#This Row],[Purchase Amount]]&gt;150,"Very High")</f>
        <v>Very High</v>
      </c>
      <c r="I332" s="23">
        <v>2.9</v>
      </c>
      <c r="J332" s="23">
        <f>IF(MONTH('Call Data'!$F332)&lt;=6, YEAR('Call Data'!$F332), YEAR('Call Data'!$F332)+1)</f>
        <v>2023</v>
      </c>
      <c r="K332" s="23" t="str">
        <f>TEXT('Call Data'!$F332,"DDDD")</f>
        <v>Saturday</v>
      </c>
      <c r="L332" s="23" t="s">
        <v>27</v>
      </c>
      <c r="M332" s="23">
        <f>ROUND('Call Data'!$I332,0)</f>
        <v>3</v>
      </c>
    </row>
    <row r="333" spans="1:13" ht="14.25" customHeight="1" x14ac:dyDescent="0.35">
      <c r="A333" s="23" t="s">
        <v>367</v>
      </c>
      <c r="B333" s="23" t="s">
        <v>58</v>
      </c>
      <c r="C333" s="23">
        <v>8</v>
      </c>
      <c r="D333" s="24" t="str" cm="1">
        <f t="array" ref="D333">_xlfn.IFS(CallData[[#This Row],[Duration]]&lt;=15,"Very short",CallData[[#This Row],[Duration]]&lt;=30,"Short",CallData[[#This Row],[Duration]]&lt;=60,"Medium",CallData[[#This Row],[Duration]]&gt;60,"Long")</f>
        <v>Very short</v>
      </c>
      <c r="E333" s="24" t="s">
        <v>35</v>
      </c>
      <c r="F333" s="25">
        <v>45024</v>
      </c>
      <c r="G333" s="26">
        <v>20</v>
      </c>
      <c r="H333" s="26" t="str" cm="1">
        <f t="array" ref="H333">_xlfn.IFS(CallData[[#This Row],[Purchase Amount]]&lt;=50,"Low",CallData[[#This Row],[Purchase Amount]]&lt;=100,"Medium",CallData[[#This Row],[Purchase Amount]]&lt;=150,"High",CallData[[#This Row],[Purchase Amount]]&gt;150,"Very High")</f>
        <v>Low</v>
      </c>
      <c r="I333" s="23">
        <v>4.8</v>
      </c>
      <c r="J333" s="23">
        <f>IF(MONTH('Call Data'!$F333)&lt;=6, YEAR('Call Data'!$F333), YEAR('Call Data'!$F333)+1)</f>
        <v>2023</v>
      </c>
      <c r="K333" s="23" t="str">
        <f>TEXT('Call Data'!$F333,"DDDD")</f>
        <v>Saturday</v>
      </c>
      <c r="L333" s="23" t="s">
        <v>176</v>
      </c>
      <c r="M333" s="23">
        <f>ROUND('Call Data'!$I333,0)</f>
        <v>5</v>
      </c>
    </row>
    <row r="334" spans="1:13" ht="14.25" customHeight="1" x14ac:dyDescent="0.35">
      <c r="A334" s="23" t="s">
        <v>368</v>
      </c>
      <c r="B334" s="23" t="s">
        <v>68</v>
      </c>
      <c r="C334" s="23">
        <v>157</v>
      </c>
      <c r="D334" s="24" t="str" cm="1">
        <f t="array" ref="D334">_xlfn.IFS(CallData[[#This Row],[Duration]]&lt;=15,"Very short",CallData[[#This Row],[Duration]]&lt;=30,"Short",CallData[[#This Row],[Duration]]&lt;=60,"Medium",CallData[[#This Row],[Duration]]&gt;60,"Long")</f>
        <v>Long</v>
      </c>
      <c r="E334" s="24" t="s">
        <v>13</v>
      </c>
      <c r="F334" s="25">
        <v>45024</v>
      </c>
      <c r="G334" s="26">
        <v>72</v>
      </c>
      <c r="H334" s="26" t="str" cm="1">
        <f t="array" ref="H334">_xlfn.IFS(CallData[[#This Row],[Purchase Amount]]&lt;=50,"Low",CallData[[#This Row],[Purchase Amount]]&lt;=100,"Medium",CallData[[#This Row],[Purchase Amount]]&lt;=150,"High",CallData[[#This Row],[Purchase Amount]]&gt;150,"Very High")</f>
        <v>Medium</v>
      </c>
      <c r="I334" s="23">
        <v>3.7</v>
      </c>
      <c r="J334" s="23">
        <f>IF(MONTH('Call Data'!$F334)&lt;=6, YEAR('Call Data'!$F334), YEAR('Call Data'!$F334)+1)</f>
        <v>2023</v>
      </c>
      <c r="K334" s="23" t="str">
        <f>TEXT('Call Data'!$F334,"DDDD")</f>
        <v>Saturday</v>
      </c>
      <c r="L334" s="23" t="s">
        <v>25</v>
      </c>
      <c r="M334" s="23">
        <f>ROUND('Call Data'!$I334,0)</f>
        <v>4</v>
      </c>
    </row>
    <row r="335" spans="1:13" ht="14.25" customHeight="1" x14ac:dyDescent="0.35">
      <c r="A335" s="23" t="s">
        <v>369</v>
      </c>
      <c r="B335" s="23" t="s">
        <v>18</v>
      </c>
      <c r="C335" s="23">
        <v>74</v>
      </c>
      <c r="D335" s="24" t="str" cm="1">
        <f t="array" ref="D335">_xlfn.IFS(CallData[[#This Row],[Duration]]&lt;=15,"Very short",CallData[[#This Row],[Duration]]&lt;=30,"Short",CallData[[#This Row],[Duration]]&lt;=60,"Medium",CallData[[#This Row],[Duration]]&gt;60,"Long")</f>
        <v>Long</v>
      </c>
      <c r="E335" s="24" t="s">
        <v>19</v>
      </c>
      <c r="F335" s="25">
        <v>45024</v>
      </c>
      <c r="G335" s="26">
        <v>32</v>
      </c>
      <c r="H335" s="26" t="str" cm="1">
        <f t="array" ref="H335">_xlfn.IFS(CallData[[#This Row],[Purchase Amount]]&lt;=50,"Low",CallData[[#This Row],[Purchase Amount]]&lt;=100,"Medium",CallData[[#This Row],[Purchase Amount]]&lt;=150,"High",CallData[[#This Row],[Purchase Amount]]&gt;150,"Very High")</f>
        <v>Low</v>
      </c>
      <c r="I335" s="23">
        <v>4.8</v>
      </c>
      <c r="J335" s="23">
        <f>IF(MONTH('Call Data'!$F335)&lt;=6, YEAR('Call Data'!$F335), YEAR('Call Data'!$F335)+1)</f>
        <v>2023</v>
      </c>
      <c r="K335" s="23" t="str">
        <f>TEXT('Call Data'!$F335,"DDDD")</f>
        <v>Saturday</v>
      </c>
      <c r="L335" s="23" t="s">
        <v>14</v>
      </c>
      <c r="M335" s="23">
        <f>ROUND('Call Data'!$I335,0)</f>
        <v>5</v>
      </c>
    </row>
    <row r="336" spans="1:13" ht="14.25" customHeight="1" x14ac:dyDescent="0.35">
      <c r="A336" s="23" t="s">
        <v>370</v>
      </c>
      <c r="B336" s="23" t="s">
        <v>46</v>
      </c>
      <c r="C336" s="23">
        <v>72</v>
      </c>
      <c r="D336" s="24" t="str" cm="1">
        <f t="array" ref="D336">_xlfn.IFS(CallData[[#This Row],[Duration]]&lt;=15,"Very short",CallData[[#This Row],[Duration]]&lt;=30,"Short",CallData[[#This Row],[Duration]]&lt;=60,"Medium",CallData[[#This Row],[Duration]]&gt;60,"Long")</f>
        <v>Long</v>
      </c>
      <c r="E336" s="24" t="s">
        <v>31</v>
      </c>
      <c r="F336" s="25">
        <v>45024</v>
      </c>
      <c r="G336" s="26">
        <v>140</v>
      </c>
      <c r="H336" s="26" t="str" cm="1">
        <f t="array" ref="H336">_xlfn.IFS(CallData[[#This Row],[Purchase Amount]]&lt;=50,"Low",CallData[[#This Row],[Purchase Amount]]&lt;=100,"Medium",CallData[[#This Row],[Purchase Amount]]&lt;=150,"High",CallData[[#This Row],[Purchase Amount]]&gt;150,"Very High")</f>
        <v>High</v>
      </c>
      <c r="I336" s="23">
        <v>3.2</v>
      </c>
      <c r="J336" s="23">
        <f>IF(MONTH('Call Data'!$F336)&lt;=6, YEAR('Call Data'!$F336), YEAR('Call Data'!$F336)+1)</f>
        <v>2023</v>
      </c>
      <c r="K336" s="23" t="str">
        <f>TEXT('Call Data'!$F336,"DDDD")</f>
        <v>Saturday</v>
      </c>
      <c r="L336" s="23" t="s">
        <v>14</v>
      </c>
      <c r="M336" s="23">
        <f>ROUND('Call Data'!$I336,0)</f>
        <v>3</v>
      </c>
    </row>
    <row r="337" spans="1:13" ht="14.25" customHeight="1" x14ac:dyDescent="0.35">
      <c r="A337" s="23" t="s">
        <v>371</v>
      </c>
      <c r="B337" s="23" t="s">
        <v>18</v>
      </c>
      <c r="C337" s="23">
        <v>79</v>
      </c>
      <c r="D337" s="24" t="str" cm="1">
        <f t="array" ref="D337">_xlfn.IFS(CallData[[#This Row],[Duration]]&lt;=15,"Very short",CallData[[#This Row],[Duration]]&lt;=30,"Short",CallData[[#This Row],[Duration]]&lt;=60,"Medium",CallData[[#This Row],[Duration]]&gt;60,"Long")</f>
        <v>Long</v>
      </c>
      <c r="E337" s="24" t="s">
        <v>19</v>
      </c>
      <c r="F337" s="25">
        <v>45025</v>
      </c>
      <c r="G337" s="26">
        <v>120</v>
      </c>
      <c r="H337" s="26" t="str" cm="1">
        <f t="array" ref="H337">_xlfn.IFS(CallData[[#This Row],[Purchase Amount]]&lt;=50,"Low",CallData[[#This Row],[Purchase Amount]]&lt;=100,"Medium",CallData[[#This Row],[Purchase Amount]]&lt;=150,"High",CallData[[#This Row],[Purchase Amount]]&gt;150,"Very High")</f>
        <v>High</v>
      </c>
      <c r="I337" s="23">
        <v>4.9000000000000004</v>
      </c>
      <c r="J337" s="23">
        <f>IF(MONTH('Call Data'!$F337)&lt;=6, YEAR('Call Data'!$F337), YEAR('Call Data'!$F337)+1)</f>
        <v>2023</v>
      </c>
      <c r="K337" s="23" t="str">
        <f>TEXT('Call Data'!$F337,"DDDD")</f>
        <v>Sunday</v>
      </c>
      <c r="L337" s="23" t="s">
        <v>14</v>
      </c>
      <c r="M337" s="23">
        <f>ROUND('Call Data'!$I337,0)</f>
        <v>5</v>
      </c>
    </row>
    <row r="338" spans="1:13" ht="14.25" customHeight="1" x14ac:dyDescent="0.35">
      <c r="A338" s="23" t="s">
        <v>372</v>
      </c>
      <c r="B338" s="23" t="s">
        <v>55</v>
      </c>
      <c r="C338" s="23">
        <v>23</v>
      </c>
      <c r="D338" s="24" t="str" cm="1">
        <f t="array" ref="D338">_xlfn.IFS(CallData[[#This Row],[Duration]]&lt;=15,"Very short",CallData[[#This Row],[Duration]]&lt;=30,"Short",CallData[[#This Row],[Duration]]&lt;=60,"Medium",CallData[[#This Row],[Duration]]&gt;60,"Long")</f>
        <v>Short</v>
      </c>
      <c r="E338" s="24" t="s">
        <v>19</v>
      </c>
      <c r="F338" s="25">
        <v>45025</v>
      </c>
      <c r="G338" s="26">
        <v>86</v>
      </c>
      <c r="H338" s="26" t="str" cm="1">
        <f t="array" ref="H338">_xlfn.IFS(CallData[[#This Row],[Purchase Amount]]&lt;=50,"Low",CallData[[#This Row],[Purchase Amount]]&lt;=100,"Medium",CallData[[#This Row],[Purchase Amount]]&lt;=150,"High",CallData[[#This Row],[Purchase Amount]]&gt;150,"Very High")</f>
        <v>Medium</v>
      </c>
      <c r="I338" s="23">
        <v>2.2000000000000002</v>
      </c>
      <c r="J338" s="23">
        <f>IF(MONTH('Call Data'!$F338)&lt;=6, YEAR('Call Data'!$F338), YEAR('Call Data'!$F338)+1)</f>
        <v>2023</v>
      </c>
      <c r="K338" s="23" t="str">
        <f>TEXT('Call Data'!$F338,"DDDD")</f>
        <v>Sunday</v>
      </c>
      <c r="L338" s="23" t="s">
        <v>47</v>
      </c>
      <c r="M338" s="23">
        <f>ROUND('Call Data'!$I338,0)</f>
        <v>2</v>
      </c>
    </row>
    <row r="339" spans="1:13" ht="14.25" customHeight="1" x14ac:dyDescent="0.35">
      <c r="A339" s="23" t="s">
        <v>373</v>
      </c>
      <c r="B339" s="23" t="s">
        <v>16</v>
      </c>
      <c r="C339" s="23">
        <v>69</v>
      </c>
      <c r="D339" s="24" t="str" cm="1">
        <f t="array" ref="D339">_xlfn.IFS(CallData[[#This Row],[Duration]]&lt;=15,"Very short",CallData[[#This Row],[Duration]]&lt;=30,"Short",CallData[[#This Row],[Duration]]&lt;=60,"Medium",CallData[[#This Row],[Duration]]&gt;60,"Long")</f>
        <v>Long</v>
      </c>
      <c r="E339" s="24" t="s">
        <v>19</v>
      </c>
      <c r="F339" s="25">
        <v>45025</v>
      </c>
      <c r="G339" s="26">
        <v>132</v>
      </c>
      <c r="H339" s="26" t="str" cm="1">
        <f t="array" ref="H339">_xlfn.IFS(CallData[[#This Row],[Purchase Amount]]&lt;=50,"Low",CallData[[#This Row],[Purchase Amount]]&lt;=100,"Medium",CallData[[#This Row],[Purchase Amount]]&lt;=150,"High",CallData[[#This Row],[Purchase Amount]]&gt;150,"Very High")</f>
        <v>High</v>
      </c>
      <c r="I339" s="23">
        <v>5</v>
      </c>
      <c r="J339" s="23">
        <f>IF(MONTH('Call Data'!$F339)&lt;=6, YEAR('Call Data'!$F339), YEAR('Call Data'!$F339)+1)</f>
        <v>2023</v>
      </c>
      <c r="K339" s="23" t="str">
        <f>TEXT('Call Data'!$F339,"DDDD")</f>
        <v>Sunday</v>
      </c>
      <c r="L339" s="23" t="s">
        <v>14</v>
      </c>
      <c r="M339" s="23">
        <f>ROUND('Call Data'!$I339,0)</f>
        <v>5</v>
      </c>
    </row>
    <row r="340" spans="1:13" ht="14.25" customHeight="1" x14ac:dyDescent="0.35">
      <c r="A340" s="23" t="s">
        <v>374</v>
      </c>
      <c r="B340" s="23" t="s">
        <v>50</v>
      </c>
      <c r="C340" s="23">
        <v>64</v>
      </c>
      <c r="D340" s="24" t="str" cm="1">
        <f t="array" ref="D340">_xlfn.IFS(CallData[[#This Row],[Duration]]&lt;=15,"Very short",CallData[[#This Row],[Duration]]&lt;=30,"Short",CallData[[#This Row],[Duration]]&lt;=60,"Medium",CallData[[#This Row],[Duration]]&gt;60,"Long")</f>
        <v>Long</v>
      </c>
      <c r="E340" s="24" t="s">
        <v>19</v>
      </c>
      <c r="F340" s="25">
        <v>45025</v>
      </c>
      <c r="G340" s="26">
        <v>80</v>
      </c>
      <c r="H340" s="26" t="str" cm="1">
        <f t="array" ref="H340">_xlfn.IFS(CallData[[#This Row],[Purchase Amount]]&lt;=50,"Low",CallData[[#This Row],[Purchase Amount]]&lt;=100,"Medium",CallData[[#This Row],[Purchase Amount]]&lt;=150,"High",CallData[[#This Row],[Purchase Amount]]&gt;150,"Very High")</f>
        <v>Medium</v>
      </c>
      <c r="I340" s="23">
        <v>3.3</v>
      </c>
      <c r="J340" s="23">
        <f>IF(MONTH('Call Data'!$F340)&lt;=6, YEAR('Call Data'!$F340), YEAR('Call Data'!$F340)+1)</f>
        <v>2023</v>
      </c>
      <c r="K340" s="23" t="str">
        <f>TEXT('Call Data'!$F340,"DDDD")</f>
        <v>Sunday</v>
      </c>
      <c r="L340" s="23" t="s">
        <v>14</v>
      </c>
      <c r="M340" s="23">
        <f>ROUND('Call Data'!$I340,0)</f>
        <v>3</v>
      </c>
    </row>
    <row r="341" spans="1:13" ht="14.25" customHeight="1" x14ac:dyDescent="0.35">
      <c r="A341" s="23" t="s">
        <v>375</v>
      </c>
      <c r="B341" s="23" t="s">
        <v>40</v>
      </c>
      <c r="C341" s="23">
        <v>47</v>
      </c>
      <c r="D341" s="24" t="str" cm="1">
        <f t="array" ref="D341">_xlfn.IFS(CallData[[#This Row],[Duration]]&lt;=15,"Very short",CallData[[#This Row],[Duration]]&lt;=30,"Short",CallData[[#This Row],[Duration]]&lt;=60,"Medium",CallData[[#This Row],[Duration]]&gt;60,"Long")</f>
        <v>Medium</v>
      </c>
      <c r="E341" s="24" t="s">
        <v>13</v>
      </c>
      <c r="F341" s="25">
        <v>45025</v>
      </c>
      <c r="G341" s="26">
        <v>132</v>
      </c>
      <c r="H341" s="26" t="str" cm="1">
        <f t="array" ref="H341">_xlfn.IFS(CallData[[#This Row],[Purchase Amount]]&lt;=50,"Low",CallData[[#This Row],[Purchase Amount]]&lt;=100,"Medium",CallData[[#This Row],[Purchase Amount]]&lt;=150,"High",CallData[[#This Row],[Purchase Amount]]&gt;150,"Very High")</f>
        <v>High</v>
      </c>
      <c r="I341" s="23">
        <v>3.7</v>
      </c>
      <c r="J341" s="23">
        <f>IF(MONTH('Call Data'!$F341)&lt;=6, YEAR('Call Data'!$F341), YEAR('Call Data'!$F341)+1)</f>
        <v>2023</v>
      </c>
      <c r="K341" s="23" t="str">
        <f>TEXT('Call Data'!$F341,"DDDD")</f>
        <v>Sunday</v>
      </c>
      <c r="L341" s="23" t="s">
        <v>27</v>
      </c>
      <c r="M341" s="23">
        <f>ROUND('Call Data'!$I341,0)</f>
        <v>4</v>
      </c>
    </row>
    <row r="342" spans="1:13" ht="14.25" customHeight="1" x14ac:dyDescent="0.35">
      <c r="A342" s="23" t="s">
        <v>376</v>
      </c>
      <c r="B342" s="23" t="s">
        <v>18</v>
      </c>
      <c r="C342" s="23">
        <v>55</v>
      </c>
      <c r="D342" s="24" t="str" cm="1">
        <f t="array" ref="D342">_xlfn.IFS(CallData[[#This Row],[Duration]]&lt;=15,"Very short",CallData[[#This Row],[Duration]]&lt;=30,"Short",CallData[[#This Row],[Duration]]&lt;=60,"Medium",CallData[[#This Row],[Duration]]&gt;60,"Long")</f>
        <v>Medium</v>
      </c>
      <c r="E342" s="24" t="s">
        <v>31</v>
      </c>
      <c r="F342" s="25">
        <v>45025</v>
      </c>
      <c r="G342" s="26">
        <v>27</v>
      </c>
      <c r="H342" s="26" t="str" cm="1">
        <f t="array" ref="H342">_xlfn.IFS(CallData[[#This Row],[Purchase Amount]]&lt;=50,"Low",CallData[[#This Row],[Purchase Amount]]&lt;=100,"Medium",CallData[[#This Row],[Purchase Amount]]&lt;=150,"High",CallData[[#This Row],[Purchase Amount]]&gt;150,"Very High")</f>
        <v>Low</v>
      </c>
      <c r="I342" s="23">
        <v>3.7</v>
      </c>
      <c r="J342" s="23">
        <f>IF(MONTH('Call Data'!$F342)&lt;=6, YEAR('Call Data'!$F342), YEAR('Call Data'!$F342)+1)</f>
        <v>2023</v>
      </c>
      <c r="K342" s="23" t="str">
        <f>TEXT('Call Data'!$F342,"DDDD")</f>
        <v>Sunday</v>
      </c>
      <c r="L342" s="23" t="s">
        <v>27</v>
      </c>
      <c r="M342" s="23">
        <f>ROUND('Call Data'!$I342,0)</f>
        <v>4</v>
      </c>
    </row>
    <row r="343" spans="1:13" ht="14.25" customHeight="1" x14ac:dyDescent="0.35">
      <c r="A343" s="23" t="s">
        <v>377</v>
      </c>
      <c r="B343" s="23" t="s">
        <v>34</v>
      </c>
      <c r="C343" s="23">
        <v>104</v>
      </c>
      <c r="D343" s="24" t="str" cm="1">
        <f t="array" ref="D343">_xlfn.IFS(CallData[[#This Row],[Duration]]&lt;=15,"Very short",CallData[[#This Row],[Duration]]&lt;=30,"Short",CallData[[#This Row],[Duration]]&lt;=60,"Medium",CallData[[#This Row],[Duration]]&gt;60,"Long")</f>
        <v>Long</v>
      </c>
      <c r="E343" s="24" t="s">
        <v>31</v>
      </c>
      <c r="F343" s="25">
        <v>45026</v>
      </c>
      <c r="G343" s="26">
        <v>68</v>
      </c>
      <c r="H343" s="26" t="str" cm="1">
        <f t="array" ref="H343">_xlfn.IFS(CallData[[#This Row],[Purchase Amount]]&lt;=50,"Low",CallData[[#This Row],[Purchase Amount]]&lt;=100,"Medium",CallData[[#This Row],[Purchase Amount]]&lt;=150,"High",CallData[[#This Row],[Purchase Amount]]&gt;150,"Very High")</f>
        <v>Medium</v>
      </c>
      <c r="I343" s="23">
        <v>3.6</v>
      </c>
      <c r="J343" s="23">
        <f>IF(MONTH('Call Data'!$F343)&lt;=6, YEAR('Call Data'!$F343), YEAR('Call Data'!$F343)+1)</f>
        <v>2023</v>
      </c>
      <c r="K343" s="23" t="str">
        <f>TEXT('Call Data'!$F343,"DDDD")</f>
        <v>Monday</v>
      </c>
      <c r="L343" s="23" t="s">
        <v>14</v>
      </c>
      <c r="M343" s="23">
        <f>ROUND('Call Data'!$I343,0)</f>
        <v>4</v>
      </c>
    </row>
    <row r="344" spans="1:13" ht="14.25" customHeight="1" x14ac:dyDescent="0.35">
      <c r="A344" s="23" t="s">
        <v>378</v>
      </c>
      <c r="B344" s="23" t="s">
        <v>40</v>
      </c>
      <c r="C344" s="23">
        <v>116</v>
      </c>
      <c r="D344" s="24" t="str" cm="1">
        <f t="array" ref="D344">_xlfn.IFS(CallData[[#This Row],[Duration]]&lt;=15,"Very short",CallData[[#This Row],[Duration]]&lt;=30,"Short",CallData[[#This Row],[Duration]]&lt;=60,"Medium",CallData[[#This Row],[Duration]]&gt;60,"Long")</f>
        <v>Long</v>
      </c>
      <c r="E344" s="24" t="s">
        <v>19</v>
      </c>
      <c r="F344" s="25">
        <v>45026</v>
      </c>
      <c r="G344" s="26">
        <v>22</v>
      </c>
      <c r="H344" s="26" t="str" cm="1">
        <f t="array" ref="H344">_xlfn.IFS(CallData[[#This Row],[Purchase Amount]]&lt;=50,"Low",CallData[[#This Row],[Purchase Amount]]&lt;=100,"Medium",CallData[[#This Row],[Purchase Amount]]&lt;=150,"High",CallData[[#This Row],[Purchase Amount]]&gt;150,"Very High")</f>
        <v>Low</v>
      </c>
      <c r="I344" s="23">
        <v>4.7</v>
      </c>
      <c r="J344" s="23">
        <f>IF(MONTH('Call Data'!$F344)&lt;=6, YEAR('Call Data'!$F344), YEAR('Call Data'!$F344)+1)</f>
        <v>2023</v>
      </c>
      <c r="K344" s="23" t="str">
        <f>TEXT('Call Data'!$F344,"DDDD")</f>
        <v>Monday</v>
      </c>
      <c r="L344" s="23" t="s">
        <v>14</v>
      </c>
      <c r="M344" s="23">
        <f>ROUND('Call Data'!$I344,0)</f>
        <v>5</v>
      </c>
    </row>
    <row r="345" spans="1:13" ht="14.25" customHeight="1" x14ac:dyDescent="0.35">
      <c r="A345" s="23" t="s">
        <v>379</v>
      </c>
      <c r="B345" s="23" t="s">
        <v>55</v>
      </c>
      <c r="C345" s="23">
        <v>99</v>
      </c>
      <c r="D345" s="24" t="str" cm="1">
        <f t="array" ref="D345">_xlfn.IFS(CallData[[#This Row],[Duration]]&lt;=15,"Very short",CallData[[#This Row],[Duration]]&lt;=30,"Short",CallData[[#This Row],[Duration]]&lt;=60,"Medium",CallData[[#This Row],[Duration]]&gt;60,"Long")</f>
        <v>Long</v>
      </c>
      <c r="E345" s="24" t="s">
        <v>31</v>
      </c>
      <c r="F345" s="25">
        <v>45026</v>
      </c>
      <c r="G345" s="26">
        <v>42</v>
      </c>
      <c r="H345" s="26" t="str" cm="1">
        <f t="array" ref="H345">_xlfn.IFS(CallData[[#This Row],[Purchase Amount]]&lt;=50,"Low",CallData[[#This Row],[Purchase Amount]]&lt;=100,"Medium",CallData[[#This Row],[Purchase Amount]]&lt;=150,"High",CallData[[#This Row],[Purchase Amount]]&gt;150,"Very High")</f>
        <v>Low</v>
      </c>
      <c r="I345" s="23">
        <v>3.1</v>
      </c>
      <c r="J345" s="23">
        <f>IF(MONTH('Call Data'!$F345)&lt;=6, YEAR('Call Data'!$F345), YEAR('Call Data'!$F345)+1)</f>
        <v>2023</v>
      </c>
      <c r="K345" s="23" t="str">
        <f>TEXT('Call Data'!$F345,"DDDD")</f>
        <v>Monday</v>
      </c>
      <c r="L345" s="23" t="s">
        <v>14</v>
      </c>
      <c r="M345" s="23">
        <f>ROUND('Call Data'!$I345,0)</f>
        <v>3</v>
      </c>
    </row>
    <row r="346" spans="1:13" ht="14.25" customHeight="1" x14ac:dyDescent="0.35">
      <c r="A346" s="23" t="s">
        <v>380</v>
      </c>
      <c r="B346" s="23" t="s">
        <v>34</v>
      </c>
      <c r="C346" s="23">
        <v>84</v>
      </c>
      <c r="D346" s="24" t="str" cm="1">
        <f t="array" ref="D346">_xlfn.IFS(CallData[[#This Row],[Duration]]&lt;=15,"Very short",CallData[[#This Row],[Duration]]&lt;=30,"Short",CallData[[#This Row],[Duration]]&lt;=60,"Medium",CallData[[#This Row],[Duration]]&gt;60,"Long")</f>
        <v>Long</v>
      </c>
      <c r="E346" s="24" t="s">
        <v>31</v>
      </c>
      <c r="F346" s="25">
        <v>45027</v>
      </c>
      <c r="G346" s="26">
        <v>38</v>
      </c>
      <c r="H346" s="26" t="str" cm="1">
        <f t="array" ref="H346">_xlfn.IFS(CallData[[#This Row],[Purchase Amount]]&lt;=50,"Low",CallData[[#This Row],[Purchase Amount]]&lt;=100,"Medium",CallData[[#This Row],[Purchase Amount]]&lt;=150,"High",CallData[[#This Row],[Purchase Amount]]&gt;150,"Very High")</f>
        <v>Low</v>
      </c>
      <c r="I346" s="23">
        <v>3.3</v>
      </c>
      <c r="J346" s="23">
        <f>IF(MONTH('Call Data'!$F346)&lt;=6, YEAR('Call Data'!$F346), YEAR('Call Data'!$F346)+1)</f>
        <v>2023</v>
      </c>
      <c r="K346" s="23" t="str">
        <f>TEXT('Call Data'!$F346,"DDDD")</f>
        <v>Tuesday</v>
      </c>
      <c r="L346" s="23" t="s">
        <v>14</v>
      </c>
      <c r="M346" s="23">
        <f>ROUND('Call Data'!$I346,0)</f>
        <v>3</v>
      </c>
    </row>
    <row r="347" spans="1:13" ht="14.25" customHeight="1" x14ac:dyDescent="0.35">
      <c r="A347" s="23" t="s">
        <v>381</v>
      </c>
      <c r="B347" s="23" t="s">
        <v>58</v>
      </c>
      <c r="C347" s="23">
        <v>159</v>
      </c>
      <c r="D347" s="24" t="str" cm="1">
        <f t="array" ref="D347">_xlfn.IFS(CallData[[#This Row],[Duration]]&lt;=15,"Very short",CallData[[#This Row],[Duration]]&lt;=30,"Short",CallData[[#This Row],[Duration]]&lt;=60,"Medium",CallData[[#This Row],[Duration]]&gt;60,"Long")</f>
        <v>Long</v>
      </c>
      <c r="E347" s="24" t="s">
        <v>31</v>
      </c>
      <c r="F347" s="25">
        <v>45027</v>
      </c>
      <c r="G347" s="26">
        <v>42</v>
      </c>
      <c r="H347" s="26" t="str" cm="1">
        <f t="array" ref="H347">_xlfn.IFS(CallData[[#This Row],[Purchase Amount]]&lt;=50,"Low",CallData[[#This Row],[Purchase Amount]]&lt;=100,"Medium",CallData[[#This Row],[Purchase Amount]]&lt;=150,"High",CallData[[#This Row],[Purchase Amount]]&gt;150,"Very High")</f>
        <v>Low</v>
      </c>
      <c r="I347" s="23">
        <v>4.5</v>
      </c>
      <c r="J347" s="23">
        <f>IF(MONTH('Call Data'!$F347)&lt;=6, YEAR('Call Data'!$F347), YEAR('Call Data'!$F347)+1)</f>
        <v>2023</v>
      </c>
      <c r="K347" s="23" t="str">
        <f>TEXT('Call Data'!$F347,"DDDD")</f>
        <v>Tuesday</v>
      </c>
      <c r="L347" s="23" t="s">
        <v>25</v>
      </c>
      <c r="M347" s="23">
        <f>ROUND('Call Data'!$I347,0)</f>
        <v>5</v>
      </c>
    </row>
    <row r="348" spans="1:13" ht="14.25" customHeight="1" x14ac:dyDescent="0.35">
      <c r="A348" s="23" t="s">
        <v>382</v>
      </c>
      <c r="B348" s="23" t="s">
        <v>29</v>
      </c>
      <c r="C348" s="23">
        <v>25</v>
      </c>
      <c r="D348" s="24" t="str" cm="1">
        <f t="array" ref="D348">_xlfn.IFS(CallData[[#This Row],[Duration]]&lt;=15,"Very short",CallData[[#This Row],[Duration]]&lt;=30,"Short",CallData[[#This Row],[Duration]]&lt;=60,"Medium",CallData[[#This Row],[Duration]]&gt;60,"Long")</f>
        <v>Short</v>
      </c>
      <c r="E348" s="24" t="s">
        <v>13</v>
      </c>
      <c r="F348" s="25">
        <v>45027</v>
      </c>
      <c r="G348" s="26">
        <v>75</v>
      </c>
      <c r="H348" s="26" t="str" cm="1">
        <f t="array" ref="H348">_xlfn.IFS(CallData[[#This Row],[Purchase Amount]]&lt;=50,"Low",CallData[[#This Row],[Purchase Amount]]&lt;=100,"Medium",CallData[[#This Row],[Purchase Amount]]&lt;=150,"High",CallData[[#This Row],[Purchase Amount]]&gt;150,"Very High")</f>
        <v>Medium</v>
      </c>
      <c r="I348" s="23">
        <v>3.9</v>
      </c>
      <c r="J348" s="23">
        <f>IF(MONTH('Call Data'!$F348)&lt;=6, YEAR('Call Data'!$F348), YEAR('Call Data'!$F348)+1)</f>
        <v>2023</v>
      </c>
      <c r="K348" s="23" t="str">
        <f>TEXT('Call Data'!$F348,"DDDD")</f>
        <v>Tuesday</v>
      </c>
      <c r="L348" s="23" t="s">
        <v>47</v>
      </c>
      <c r="M348" s="23">
        <f>ROUND('Call Data'!$I348,0)</f>
        <v>4</v>
      </c>
    </row>
    <row r="349" spans="1:13" ht="14.25" customHeight="1" x14ac:dyDescent="0.35">
      <c r="A349" s="23" t="s">
        <v>383</v>
      </c>
      <c r="B349" s="23" t="s">
        <v>58</v>
      </c>
      <c r="C349" s="23">
        <v>53</v>
      </c>
      <c r="D349" s="24" t="str" cm="1">
        <f t="array" ref="D349">_xlfn.IFS(CallData[[#This Row],[Duration]]&lt;=15,"Very short",CallData[[#This Row],[Duration]]&lt;=30,"Short",CallData[[#This Row],[Duration]]&lt;=60,"Medium",CallData[[#This Row],[Duration]]&gt;60,"Long")</f>
        <v>Medium</v>
      </c>
      <c r="E349" s="24" t="s">
        <v>35</v>
      </c>
      <c r="F349" s="25">
        <v>45028</v>
      </c>
      <c r="G349" s="26">
        <v>23</v>
      </c>
      <c r="H349" s="26" t="str" cm="1">
        <f t="array" ref="H349">_xlfn.IFS(CallData[[#This Row],[Purchase Amount]]&lt;=50,"Low",CallData[[#This Row],[Purchase Amount]]&lt;=100,"Medium",CallData[[#This Row],[Purchase Amount]]&lt;=150,"High",CallData[[#This Row],[Purchase Amount]]&gt;150,"Very High")</f>
        <v>Low</v>
      </c>
      <c r="I349" s="23">
        <v>4.9000000000000004</v>
      </c>
      <c r="J349" s="23">
        <f>IF(MONTH('Call Data'!$F349)&lt;=6, YEAR('Call Data'!$F349), YEAR('Call Data'!$F349)+1)</f>
        <v>2023</v>
      </c>
      <c r="K349" s="23" t="str">
        <f>TEXT('Call Data'!$F349,"DDDD")</f>
        <v>Wednesday</v>
      </c>
      <c r="L349" s="23" t="s">
        <v>27</v>
      </c>
      <c r="M349" s="23">
        <f>ROUND('Call Data'!$I349,0)</f>
        <v>5</v>
      </c>
    </row>
    <row r="350" spans="1:13" ht="14.25" customHeight="1" x14ac:dyDescent="0.35">
      <c r="A350" s="23" t="s">
        <v>384</v>
      </c>
      <c r="B350" s="23" t="s">
        <v>58</v>
      </c>
      <c r="C350" s="23">
        <v>89</v>
      </c>
      <c r="D350" s="24" t="str" cm="1">
        <f t="array" ref="D350">_xlfn.IFS(CallData[[#This Row],[Duration]]&lt;=15,"Very short",CallData[[#This Row],[Duration]]&lt;=30,"Short",CallData[[#This Row],[Duration]]&lt;=60,"Medium",CallData[[#This Row],[Duration]]&gt;60,"Long")</f>
        <v>Long</v>
      </c>
      <c r="E350" s="24" t="s">
        <v>13</v>
      </c>
      <c r="F350" s="25">
        <v>45028</v>
      </c>
      <c r="G350" s="26">
        <v>200</v>
      </c>
      <c r="H350" s="26" t="str" cm="1">
        <f t="array" ref="H350">_xlfn.IFS(CallData[[#This Row],[Purchase Amount]]&lt;=50,"Low",CallData[[#This Row],[Purchase Amount]]&lt;=100,"Medium",CallData[[#This Row],[Purchase Amount]]&lt;=150,"High",CallData[[#This Row],[Purchase Amount]]&gt;150,"Very High")</f>
        <v>Very High</v>
      </c>
      <c r="I350" s="23">
        <v>4.8</v>
      </c>
      <c r="J350" s="23">
        <f>IF(MONTH('Call Data'!$F350)&lt;=6, YEAR('Call Data'!$F350), YEAR('Call Data'!$F350)+1)</f>
        <v>2023</v>
      </c>
      <c r="K350" s="23" t="str">
        <f>TEXT('Call Data'!$F350,"DDDD")</f>
        <v>Wednesday</v>
      </c>
      <c r="L350" s="23" t="s">
        <v>14</v>
      </c>
      <c r="M350" s="23">
        <f>ROUND('Call Data'!$I350,0)</f>
        <v>5</v>
      </c>
    </row>
    <row r="351" spans="1:13" ht="14.25" customHeight="1" x14ac:dyDescent="0.35">
      <c r="A351" s="23" t="s">
        <v>385</v>
      </c>
      <c r="B351" s="23" t="s">
        <v>21</v>
      </c>
      <c r="C351" s="23">
        <v>73</v>
      </c>
      <c r="D351" s="24" t="str" cm="1">
        <f t="array" ref="D351">_xlfn.IFS(CallData[[#This Row],[Duration]]&lt;=15,"Very short",CallData[[#This Row],[Duration]]&lt;=30,"Short",CallData[[#This Row],[Duration]]&lt;=60,"Medium",CallData[[#This Row],[Duration]]&gt;60,"Long")</f>
        <v>Long</v>
      </c>
      <c r="E351" s="24" t="s">
        <v>19</v>
      </c>
      <c r="F351" s="25">
        <v>45029</v>
      </c>
      <c r="G351" s="26">
        <v>45</v>
      </c>
      <c r="H351" s="26" t="str" cm="1">
        <f t="array" ref="H351">_xlfn.IFS(CallData[[#This Row],[Purchase Amount]]&lt;=50,"Low",CallData[[#This Row],[Purchase Amount]]&lt;=100,"Medium",CallData[[#This Row],[Purchase Amount]]&lt;=150,"High",CallData[[#This Row],[Purchase Amount]]&gt;150,"Very High")</f>
        <v>Low</v>
      </c>
      <c r="I351" s="23">
        <v>3.6</v>
      </c>
      <c r="J351" s="23">
        <f>IF(MONTH('Call Data'!$F351)&lt;=6, YEAR('Call Data'!$F351), YEAR('Call Data'!$F351)+1)</f>
        <v>2023</v>
      </c>
      <c r="K351" s="23" t="str">
        <f>TEXT('Call Data'!$F351,"DDDD")</f>
        <v>Thursday</v>
      </c>
      <c r="L351" s="23" t="s">
        <v>14</v>
      </c>
      <c r="M351" s="23">
        <f>ROUND('Call Data'!$I351,0)</f>
        <v>4</v>
      </c>
    </row>
    <row r="352" spans="1:13" ht="14.25" customHeight="1" x14ac:dyDescent="0.35">
      <c r="A352" s="23" t="s">
        <v>386</v>
      </c>
      <c r="B352" s="23" t="s">
        <v>55</v>
      </c>
      <c r="C352" s="23">
        <v>50</v>
      </c>
      <c r="D352" s="24" t="str" cm="1">
        <f t="array" ref="D352">_xlfn.IFS(CallData[[#This Row],[Duration]]&lt;=15,"Very short",CallData[[#This Row],[Duration]]&lt;=30,"Short",CallData[[#This Row],[Duration]]&lt;=60,"Medium",CallData[[#This Row],[Duration]]&gt;60,"Long")</f>
        <v>Medium</v>
      </c>
      <c r="E352" s="24" t="s">
        <v>19</v>
      </c>
      <c r="F352" s="25">
        <v>45029</v>
      </c>
      <c r="G352" s="26">
        <v>105</v>
      </c>
      <c r="H352" s="26" t="str" cm="1">
        <f t="array" ref="H352">_xlfn.IFS(CallData[[#This Row],[Purchase Amount]]&lt;=50,"Low",CallData[[#This Row],[Purchase Amount]]&lt;=100,"Medium",CallData[[#This Row],[Purchase Amount]]&lt;=150,"High",CallData[[#This Row],[Purchase Amount]]&gt;150,"Very High")</f>
        <v>High</v>
      </c>
      <c r="I352" s="23">
        <v>3.5</v>
      </c>
      <c r="J352" s="23">
        <f>IF(MONTH('Call Data'!$F352)&lt;=6, YEAR('Call Data'!$F352), YEAR('Call Data'!$F352)+1)</f>
        <v>2023</v>
      </c>
      <c r="K352" s="23" t="str">
        <f>TEXT('Call Data'!$F352,"DDDD")</f>
        <v>Thursday</v>
      </c>
      <c r="L352" s="23" t="s">
        <v>27</v>
      </c>
      <c r="M352" s="23">
        <f>ROUND('Call Data'!$I352,0)</f>
        <v>4</v>
      </c>
    </row>
    <row r="353" spans="1:13" ht="14.25" customHeight="1" x14ac:dyDescent="0.35">
      <c r="A353" s="23" t="s">
        <v>387</v>
      </c>
      <c r="B353" s="23" t="s">
        <v>23</v>
      </c>
      <c r="C353" s="23">
        <v>98</v>
      </c>
      <c r="D353" s="24" t="str" cm="1">
        <f t="array" ref="D353">_xlfn.IFS(CallData[[#This Row],[Duration]]&lt;=15,"Very short",CallData[[#This Row],[Duration]]&lt;=30,"Short",CallData[[#This Row],[Duration]]&lt;=60,"Medium",CallData[[#This Row],[Duration]]&gt;60,"Long")</f>
        <v>Long</v>
      </c>
      <c r="E353" s="24" t="s">
        <v>19</v>
      </c>
      <c r="F353" s="25">
        <v>45029</v>
      </c>
      <c r="G353" s="26">
        <v>22</v>
      </c>
      <c r="H353" s="26" t="str" cm="1">
        <f t="array" ref="H353">_xlfn.IFS(CallData[[#This Row],[Purchase Amount]]&lt;=50,"Low",CallData[[#This Row],[Purchase Amount]]&lt;=100,"Medium",CallData[[#This Row],[Purchase Amount]]&lt;=150,"High",CallData[[#This Row],[Purchase Amount]]&gt;150,"Very High")</f>
        <v>Low</v>
      </c>
      <c r="I353" s="23">
        <v>3.8</v>
      </c>
      <c r="J353" s="23">
        <f>IF(MONTH('Call Data'!$F353)&lt;=6, YEAR('Call Data'!$F353), YEAR('Call Data'!$F353)+1)</f>
        <v>2023</v>
      </c>
      <c r="K353" s="23" t="str">
        <f>TEXT('Call Data'!$F353,"DDDD")</f>
        <v>Thursday</v>
      </c>
      <c r="L353" s="23" t="s">
        <v>14</v>
      </c>
      <c r="M353" s="23">
        <f>ROUND('Call Data'!$I353,0)</f>
        <v>4</v>
      </c>
    </row>
    <row r="354" spans="1:13" ht="14.25" customHeight="1" x14ac:dyDescent="0.35">
      <c r="A354" s="23" t="s">
        <v>388</v>
      </c>
      <c r="B354" s="23" t="s">
        <v>38</v>
      </c>
      <c r="C354" s="23">
        <v>114</v>
      </c>
      <c r="D354" s="24" t="str" cm="1">
        <f t="array" ref="D354">_xlfn.IFS(CallData[[#This Row],[Duration]]&lt;=15,"Very short",CallData[[#This Row],[Duration]]&lt;=30,"Short",CallData[[#This Row],[Duration]]&lt;=60,"Medium",CallData[[#This Row],[Duration]]&gt;60,"Long")</f>
        <v>Long</v>
      </c>
      <c r="E354" s="24" t="s">
        <v>31</v>
      </c>
      <c r="F354" s="25">
        <v>45030</v>
      </c>
      <c r="G354" s="26">
        <v>126</v>
      </c>
      <c r="H354" s="26" t="str" cm="1">
        <f t="array" ref="H354">_xlfn.IFS(CallData[[#This Row],[Purchase Amount]]&lt;=50,"Low",CallData[[#This Row],[Purchase Amount]]&lt;=100,"Medium",CallData[[#This Row],[Purchase Amount]]&lt;=150,"High",CallData[[#This Row],[Purchase Amount]]&gt;150,"Very High")</f>
        <v>High</v>
      </c>
      <c r="I354" s="23">
        <v>4.4000000000000004</v>
      </c>
      <c r="J354" s="23">
        <f>IF(MONTH('Call Data'!$F354)&lt;=6, YEAR('Call Data'!$F354), YEAR('Call Data'!$F354)+1)</f>
        <v>2023</v>
      </c>
      <c r="K354" s="23" t="str">
        <f>TEXT('Call Data'!$F354,"DDDD")</f>
        <v>Friday</v>
      </c>
      <c r="L354" s="23" t="s">
        <v>14</v>
      </c>
      <c r="M354" s="23">
        <f>ROUND('Call Data'!$I354,0)</f>
        <v>4</v>
      </c>
    </row>
    <row r="355" spans="1:13" ht="14.25" customHeight="1" x14ac:dyDescent="0.35">
      <c r="A355" s="23" t="s">
        <v>389</v>
      </c>
      <c r="B355" s="23" t="s">
        <v>50</v>
      </c>
      <c r="C355" s="23">
        <v>67</v>
      </c>
      <c r="D355" s="24" t="str" cm="1">
        <f t="array" ref="D355">_xlfn.IFS(CallData[[#This Row],[Duration]]&lt;=15,"Very short",CallData[[#This Row],[Duration]]&lt;=30,"Short",CallData[[#This Row],[Duration]]&lt;=60,"Medium",CallData[[#This Row],[Duration]]&gt;60,"Long")</f>
        <v>Long</v>
      </c>
      <c r="E355" s="24" t="s">
        <v>31</v>
      </c>
      <c r="F355" s="25">
        <v>45030</v>
      </c>
      <c r="G355" s="26">
        <v>35</v>
      </c>
      <c r="H355" s="26" t="str" cm="1">
        <f t="array" ref="H355">_xlfn.IFS(CallData[[#This Row],[Purchase Amount]]&lt;=50,"Low",CallData[[#This Row],[Purchase Amount]]&lt;=100,"Medium",CallData[[#This Row],[Purchase Amount]]&lt;=150,"High",CallData[[#This Row],[Purchase Amount]]&gt;150,"Very High")</f>
        <v>Low</v>
      </c>
      <c r="I355" s="23">
        <v>3</v>
      </c>
      <c r="J355" s="23">
        <f>IF(MONTH('Call Data'!$F355)&lt;=6, YEAR('Call Data'!$F355), YEAR('Call Data'!$F355)+1)</f>
        <v>2023</v>
      </c>
      <c r="K355" s="23" t="str">
        <f>TEXT('Call Data'!$F355,"DDDD")</f>
        <v>Friday</v>
      </c>
      <c r="L355" s="23" t="s">
        <v>14</v>
      </c>
      <c r="M355" s="23">
        <f>ROUND('Call Data'!$I355,0)</f>
        <v>3</v>
      </c>
    </row>
    <row r="356" spans="1:13" ht="14.25" customHeight="1" x14ac:dyDescent="0.35">
      <c r="A356" s="23" t="s">
        <v>390</v>
      </c>
      <c r="B356" s="23" t="s">
        <v>18</v>
      </c>
      <c r="C356" s="23">
        <v>91</v>
      </c>
      <c r="D356" s="24" t="str" cm="1">
        <f t="array" ref="D356">_xlfn.IFS(CallData[[#This Row],[Duration]]&lt;=15,"Very short",CallData[[#This Row],[Duration]]&lt;=30,"Short",CallData[[#This Row],[Duration]]&lt;=60,"Medium",CallData[[#This Row],[Duration]]&gt;60,"Long")</f>
        <v>Long</v>
      </c>
      <c r="E356" s="24" t="s">
        <v>19</v>
      </c>
      <c r="F356" s="25">
        <v>45030</v>
      </c>
      <c r="G356" s="26">
        <v>84</v>
      </c>
      <c r="H356" s="26" t="str" cm="1">
        <f t="array" ref="H356">_xlfn.IFS(CallData[[#This Row],[Purchase Amount]]&lt;=50,"Low",CallData[[#This Row],[Purchase Amount]]&lt;=100,"Medium",CallData[[#This Row],[Purchase Amount]]&lt;=150,"High",CallData[[#This Row],[Purchase Amount]]&gt;150,"Very High")</f>
        <v>Medium</v>
      </c>
      <c r="I356" s="23">
        <v>4.5</v>
      </c>
      <c r="J356" s="23">
        <f>IF(MONTH('Call Data'!$F356)&lt;=6, YEAR('Call Data'!$F356), YEAR('Call Data'!$F356)+1)</f>
        <v>2023</v>
      </c>
      <c r="K356" s="23" t="str">
        <f>TEXT('Call Data'!$F356,"DDDD")</f>
        <v>Friday</v>
      </c>
      <c r="L356" s="23" t="s">
        <v>14</v>
      </c>
      <c r="M356" s="23">
        <f>ROUND('Call Data'!$I356,0)</f>
        <v>5</v>
      </c>
    </row>
    <row r="357" spans="1:13" ht="14.25" customHeight="1" x14ac:dyDescent="0.35">
      <c r="A357" s="23" t="s">
        <v>391</v>
      </c>
      <c r="B357" s="23" t="s">
        <v>88</v>
      </c>
      <c r="C357" s="23">
        <v>67</v>
      </c>
      <c r="D357" s="24" t="str" cm="1">
        <f t="array" ref="D357">_xlfn.IFS(CallData[[#This Row],[Duration]]&lt;=15,"Very short",CallData[[#This Row],[Duration]]&lt;=30,"Short",CallData[[#This Row],[Duration]]&lt;=60,"Medium",CallData[[#This Row],[Duration]]&gt;60,"Long")</f>
        <v>Long</v>
      </c>
      <c r="E357" s="24" t="s">
        <v>19</v>
      </c>
      <c r="F357" s="25">
        <v>45031</v>
      </c>
      <c r="G357" s="26">
        <v>172</v>
      </c>
      <c r="H357" s="26" t="str" cm="1">
        <f t="array" ref="H357">_xlfn.IFS(CallData[[#This Row],[Purchase Amount]]&lt;=50,"Low",CallData[[#This Row],[Purchase Amount]]&lt;=100,"Medium",CallData[[#This Row],[Purchase Amount]]&lt;=150,"High",CallData[[#This Row],[Purchase Amount]]&gt;150,"Very High")</f>
        <v>Very High</v>
      </c>
      <c r="I357" s="23">
        <v>4.5</v>
      </c>
      <c r="J357" s="23">
        <f>IF(MONTH('Call Data'!$F357)&lt;=6, YEAR('Call Data'!$F357), YEAR('Call Data'!$F357)+1)</f>
        <v>2023</v>
      </c>
      <c r="K357" s="23" t="str">
        <f>TEXT('Call Data'!$F357,"DDDD")</f>
        <v>Saturday</v>
      </c>
      <c r="L357" s="23" t="s">
        <v>14</v>
      </c>
      <c r="M357" s="23">
        <f>ROUND('Call Data'!$I357,0)</f>
        <v>5</v>
      </c>
    </row>
    <row r="358" spans="1:13" ht="14.25" customHeight="1" x14ac:dyDescent="0.35">
      <c r="A358" s="23" t="s">
        <v>392</v>
      </c>
      <c r="B358" s="23" t="s">
        <v>38</v>
      </c>
      <c r="C358" s="23">
        <v>139</v>
      </c>
      <c r="D358" s="24" t="str" cm="1">
        <f t="array" ref="D358">_xlfn.IFS(CallData[[#This Row],[Duration]]&lt;=15,"Very short",CallData[[#This Row],[Duration]]&lt;=30,"Short",CallData[[#This Row],[Duration]]&lt;=60,"Medium",CallData[[#This Row],[Duration]]&gt;60,"Long")</f>
        <v>Long</v>
      </c>
      <c r="E358" s="24" t="s">
        <v>13</v>
      </c>
      <c r="F358" s="25">
        <v>45031</v>
      </c>
      <c r="G358" s="26">
        <v>114</v>
      </c>
      <c r="H358" s="26" t="str" cm="1">
        <f t="array" ref="H358">_xlfn.IFS(CallData[[#This Row],[Purchase Amount]]&lt;=50,"Low",CallData[[#This Row],[Purchase Amount]]&lt;=100,"Medium",CallData[[#This Row],[Purchase Amount]]&lt;=150,"High",CallData[[#This Row],[Purchase Amount]]&gt;150,"Very High")</f>
        <v>High</v>
      </c>
      <c r="I358" s="23">
        <v>4</v>
      </c>
      <c r="J358" s="23">
        <f>IF(MONTH('Call Data'!$F358)&lt;=6, YEAR('Call Data'!$F358), YEAR('Call Data'!$F358)+1)</f>
        <v>2023</v>
      </c>
      <c r="K358" s="23" t="str">
        <f>TEXT('Call Data'!$F358,"DDDD")</f>
        <v>Saturday</v>
      </c>
      <c r="L358" s="23" t="s">
        <v>25</v>
      </c>
      <c r="M358" s="23">
        <f>ROUND('Call Data'!$I358,0)</f>
        <v>4</v>
      </c>
    </row>
    <row r="359" spans="1:13" ht="14.25" customHeight="1" x14ac:dyDescent="0.35">
      <c r="A359" s="23" t="s">
        <v>393</v>
      </c>
      <c r="B359" s="23" t="s">
        <v>88</v>
      </c>
      <c r="C359" s="23">
        <v>102</v>
      </c>
      <c r="D359" s="24" t="str" cm="1">
        <f t="array" ref="D359">_xlfn.IFS(CallData[[#This Row],[Duration]]&lt;=15,"Very short",CallData[[#This Row],[Duration]]&lt;=30,"Short",CallData[[#This Row],[Duration]]&lt;=60,"Medium",CallData[[#This Row],[Duration]]&gt;60,"Long")</f>
        <v>Long</v>
      </c>
      <c r="E359" s="24" t="s">
        <v>13</v>
      </c>
      <c r="F359" s="25">
        <v>45031</v>
      </c>
      <c r="G359" s="26">
        <v>60</v>
      </c>
      <c r="H359" s="26" t="str" cm="1">
        <f t="array" ref="H359">_xlfn.IFS(CallData[[#This Row],[Purchase Amount]]&lt;=50,"Low",CallData[[#This Row],[Purchase Amount]]&lt;=100,"Medium",CallData[[#This Row],[Purchase Amount]]&lt;=150,"High",CallData[[#This Row],[Purchase Amount]]&gt;150,"Very High")</f>
        <v>Medium</v>
      </c>
      <c r="I359" s="23">
        <v>3.8</v>
      </c>
      <c r="J359" s="23">
        <f>IF(MONTH('Call Data'!$F359)&lt;=6, YEAR('Call Data'!$F359), YEAR('Call Data'!$F359)+1)</f>
        <v>2023</v>
      </c>
      <c r="K359" s="23" t="str">
        <f>TEXT('Call Data'!$F359,"DDDD")</f>
        <v>Saturday</v>
      </c>
      <c r="L359" s="23" t="s">
        <v>14</v>
      </c>
      <c r="M359" s="23">
        <f>ROUND('Call Data'!$I359,0)</f>
        <v>4</v>
      </c>
    </row>
    <row r="360" spans="1:13" ht="14.25" customHeight="1" x14ac:dyDescent="0.35">
      <c r="A360" s="23" t="s">
        <v>394</v>
      </c>
      <c r="B360" s="23" t="s">
        <v>68</v>
      </c>
      <c r="C360" s="23">
        <v>108</v>
      </c>
      <c r="D360" s="24" t="str" cm="1">
        <f t="array" ref="D360">_xlfn.IFS(CallData[[#This Row],[Duration]]&lt;=15,"Very short",CallData[[#This Row],[Duration]]&lt;=30,"Short",CallData[[#This Row],[Duration]]&lt;=60,"Medium",CallData[[#This Row],[Duration]]&gt;60,"Long")</f>
        <v>Long</v>
      </c>
      <c r="E360" s="24" t="s">
        <v>24</v>
      </c>
      <c r="F360" s="25">
        <v>45031</v>
      </c>
      <c r="G360" s="26">
        <v>26</v>
      </c>
      <c r="H360" s="26" t="str" cm="1">
        <f t="array" ref="H360">_xlfn.IFS(CallData[[#This Row],[Purchase Amount]]&lt;=50,"Low",CallData[[#This Row],[Purchase Amount]]&lt;=100,"Medium",CallData[[#This Row],[Purchase Amount]]&lt;=150,"High",CallData[[#This Row],[Purchase Amount]]&gt;150,"Very High")</f>
        <v>Low</v>
      </c>
      <c r="I360" s="23">
        <v>3.3</v>
      </c>
      <c r="J360" s="23">
        <f>IF(MONTH('Call Data'!$F360)&lt;=6, YEAR('Call Data'!$F360), YEAR('Call Data'!$F360)+1)</f>
        <v>2023</v>
      </c>
      <c r="K360" s="23" t="str">
        <f>TEXT('Call Data'!$F360,"DDDD")</f>
        <v>Saturday</v>
      </c>
      <c r="L360" s="23" t="s">
        <v>14</v>
      </c>
      <c r="M360" s="23">
        <f>ROUND('Call Data'!$I360,0)</f>
        <v>3</v>
      </c>
    </row>
    <row r="361" spans="1:13" ht="14.25" customHeight="1" x14ac:dyDescent="0.35">
      <c r="A361" s="23" t="s">
        <v>395</v>
      </c>
      <c r="B361" s="23" t="s">
        <v>29</v>
      </c>
      <c r="C361" s="23">
        <v>66</v>
      </c>
      <c r="D361" s="24" t="str" cm="1">
        <f t="array" ref="D361">_xlfn.IFS(CallData[[#This Row],[Duration]]&lt;=15,"Very short",CallData[[#This Row],[Duration]]&lt;=30,"Short",CallData[[#This Row],[Duration]]&lt;=60,"Medium",CallData[[#This Row],[Duration]]&gt;60,"Long")</f>
        <v>Long</v>
      </c>
      <c r="E361" s="24" t="s">
        <v>19</v>
      </c>
      <c r="F361" s="25">
        <v>45031</v>
      </c>
      <c r="G361" s="26">
        <v>210</v>
      </c>
      <c r="H361" s="26" t="str" cm="1">
        <f t="array" ref="H361">_xlfn.IFS(CallData[[#This Row],[Purchase Amount]]&lt;=50,"Low",CallData[[#This Row],[Purchase Amount]]&lt;=100,"Medium",CallData[[#This Row],[Purchase Amount]]&lt;=150,"High",CallData[[#This Row],[Purchase Amount]]&gt;150,"Very High")</f>
        <v>Very High</v>
      </c>
      <c r="I361" s="23">
        <v>4.3</v>
      </c>
      <c r="J361" s="23">
        <f>IF(MONTH('Call Data'!$F361)&lt;=6, YEAR('Call Data'!$F361), YEAR('Call Data'!$F361)+1)</f>
        <v>2023</v>
      </c>
      <c r="K361" s="23" t="str">
        <f>TEXT('Call Data'!$F361,"DDDD")</f>
        <v>Saturday</v>
      </c>
      <c r="L361" s="23" t="s">
        <v>14</v>
      </c>
      <c r="M361" s="23">
        <f>ROUND('Call Data'!$I361,0)</f>
        <v>4</v>
      </c>
    </row>
    <row r="362" spans="1:13" ht="14.25" customHeight="1" x14ac:dyDescent="0.35">
      <c r="A362" s="23" t="s">
        <v>396</v>
      </c>
      <c r="B362" s="23" t="s">
        <v>46</v>
      </c>
      <c r="C362" s="23">
        <v>85</v>
      </c>
      <c r="D362" s="24" t="str" cm="1">
        <f t="array" ref="D362">_xlfn.IFS(CallData[[#This Row],[Duration]]&lt;=15,"Very short",CallData[[#This Row],[Duration]]&lt;=30,"Short",CallData[[#This Row],[Duration]]&lt;=60,"Medium",CallData[[#This Row],[Duration]]&gt;60,"Long")</f>
        <v>Long</v>
      </c>
      <c r="E362" s="24" t="s">
        <v>13</v>
      </c>
      <c r="F362" s="25">
        <v>45031</v>
      </c>
      <c r="G362" s="26">
        <v>129</v>
      </c>
      <c r="H362" s="26" t="str" cm="1">
        <f t="array" ref="H362">_xlfn.IFS(CallData[[#This Row],[Purchase Amount]]&lt;=50,"Low",CallData[[#This Row],[Purchase Amount]]&lt;=100,"Medium",CallData[[#This Row],[Purchase Amount]]&lt;=150,"High",CallData[[#This Row],[Purchase Amount]]&gt;150,"Very High")</f>
        <v>High</v>
      </c>
      <c r="I362" s="23">
        <v>4.2</v>
      </c>
      <c r="J362" s="23">
        <f>IF(MONTH('Call Data'!$F362)&lt;=6, YEAR('Call Data'!$F362), YEAR('Call Data'!$F362)+1)</f>
        <v>2023</v>
      </c>
      <c r="K362" s="23" t="str">
        <f>TEXT('Call Data'!$F362,"DDDD")</f>
        <v>Saturday</v>
      </c>
      <c r="L362" s="23" t="s">
        <v>14</v>
      </c>
      <c r="M362" s="23">
        <f>ROUND('Call Data'!$I362,0)</f>
        <v>4</v>
      </c>
    </row>
    <row r="363" spans="1:13" ht="14.25" customHeight="1" x14ac:dyDescent="0.35">
      <c r="A363" s="23" t="s">
        <v>397</v>
      </c>
      <c r="B363" s="23" t="s">
        <v>50</v>
      </c>
      <c r="C363" s="23">
        <v>55</v>
      </c>
      <c r="D363" s="24" t="str" cm="1">
        <f t="array" ref="D363">_xlfn.IFS(CallData[[#This Row],[Duration]]&lt;=15,"Very short",CallData[[#This Row],[Duration]]&lt;=30,"Short",CallData[[#This Row],[Duration]]&lt;=60,"Medium",CallData[[#This Row],[Duration]]&gt;60,"Long")</f>
        <v>Medium</v>
      </c>
      <c r="E363" s="24" t="s">
        <v>24</v>
      </c>
      <c r="F363" s="25">
        <v>45031</v>
      </c>
      <c r="G363" s="26">
        <v>215</v>
      </c>
      <c r="H363" s="26" t="str" cm="1">
        <f t="array" ref="H363">_xlfn.IFS(CallData[[#This Row],[Purchase Amount]]&lt;=50,"Low",CallData[[#This Row],[Purchase Amount]]&lt;=100,"Medium",CallData[[#This Row],[Purchase Amount]]&lt;=150,"High",CallData[[#This Row],[Purchase Amount]]&gt;150,"Very High")</f>
        <v>Very High</v>
      </c>
      <c r="I363" s="23">
        <v>4.3</v>
      </c>
      <c r="J363" s="23">
        <f>IF(MONTH('Call Data'!$F363)&lt;=6, YEAR('Call Data'!$F363), YEAR('Call Data'!$F363)+1)</f>
        <v>2023</v>
      </c>
      <c r="K363" s="23" t="str">
        <f>TEXT('Call Data'!$F363,"DDDD")</f>
        <v>Saturday</v>
      </c>
      <c r="L363" s="23" t="s">
        <v>27</v>
      </c>
      <c r="M363" s="23">
        <f>ROUND('Call Data'!$I363,0)</f>
        <v>4</v>
      </c>
    </row>
    <row r="364" spans="1:13" ht="14.25" customHeight="1" x14ac:dyDescent="0.35">
      <c r="A364" s="23" t="s">
        <v>398</v>
      </c>
      <c r="B364" s="23" t="s">
        <v>68</v>
      </c>
      <c r="C364" s="23">
        <v>17</v>
      </c>
      <c r="D364" s="24" t="str" cm="1">
        <f t="array" ref="D364">_xlfn.IFS(CallData[[#This Row],[Duration]]&lt;=15,"Very short",CallData[[#This Row],[Duration]]&lt;=30,"Short",CallData[[#This Row],[Duration]]&lt;=60,"Medium",CallData[[#This Row],[Duration]]&gt;60,"Long")</f>
        <v>Short</v>
      </c>
      <c r="E364" s="24" t="s">
        <v>35</v>
      </c>
      <c r="F364" s="25">
        <v>45031</v>
      </c>
      <c r="G364" s="26">
        <v>69</v>
      </c>
      <c r="H364" s="26" t="str" cm="1">
        <f t="array" ref="H364">_xlfn.IFS(CallData[[#This Row],[Purchase Amount]]&lt;=50,"Low",CallData[[#This Row],[Purchase Amount]]&lt;=100,"Medium",CallData[[#This Row],[Purchase Amount]]&lt;=150,"High",CallData[[#This Row],[Purchase Amount]]&gt;150,"Very High")</f>
        <v>Medium</v>
      </c>
      <c r="I364" s="23">
        <v>4.5999999999999996</v>
      </c>
      <c r="J364" s="23">
        <f>IF(MONTH('Call Data'!$F364)&lt;=6, YEAR('Call Data'!$F364), YEAR('Call Data'!$F364)+1)</f>
        <v>2023</v>
      </c>
      <c r="K364" s="23" t="str">
        <f>TEXT('Call Data'!$F364,"DDDD")</f>
        <v>Saturday</v>
      </c>
      <c r="L364" s="23" t="s">
        <v>47</v>
      </c>
      <c r="M364" s="23">
        <f>ROUND('Call Data'!$I364,0)</f>
        <v>5</v>
      </c>
    </row>
    <row r="365" spans="1:13" ht="14.25" customHeight="1" x14ac:dyDescent="0.35">
      <c r="A365" s="23" t="s">
        <v>399</v>
      </c>
      <c r="B365" s="23" t="s">
        <v>50</v>
      </c>
      <c r="C365" s="23">
        <v>128</v>
      </c>
      <c r="D365" s="24" t="str" cm="1">
        <f t="array" ref="D365">_xlfn.IFS(CallData[[#This Row],[Duration]]&lt;=15,"Very short",CallData[[#This Row],[Duration]]&lt;=30,"Short",CallData[[#This Row],[Duration]]&lt;=60,"Medium",CallData[[#This Row],[Duration]]&gt;60,"Long")</f>
        <v>Long</v>
      </c>
      <c r="E365" s="24" t="s">
        <v>35</v>
      </c>
      <c r="F365" s="25">
        <v>45031</v>
      </c>
      <c r="G365" s="26">
        <v>140</v>
      </c>
      <c r="H365" s="26" t="str" cm="1">
        <f t="array" ref="H365">_xlfn.IFS(CallData[[#This Row],[Purchase Amount]]&lt;=50,"Low",CallData[[#This Row],[Purchase Amount]]&lt;=100,"Medium",CallData[[#This Row],[Purchase Amount]]&lt;=150,"High",CallData[[#This Row],[Purchase Amount]]&gt;150,"Very High")</f>
        <v>High</v>
      </c>
      <c r="I365" s="23">
        <v>3</v>
      </c>
      <c r="J365" s="23">
        <f>IF(MONTH('Call Data'!$F365)&lt;=6, YEAR('Call Data'!$F365), YEAR('Call Data'!$F365)+1)</f>
        <v>2023</v>
      </c>
      <c r="K365" s="23" t="str">
        <f>TEXT('Call Data'!$F365,"DDDD")</f>
        <v>Saturday</v>
      </c>
      <c r="L365" s="23" t="s">
        <v>25</v>
      </c>
      <c r="M365" s="23">
        <f>ROUND('Call Data'!$I365,0)</f>
        <v>3</v>
      </c>
    </row>
    <row r="366" spans="1:13" ht="14.25" customHeight="1" x14ac:dyDescent="0.35">
      <c r="A366" s="23" t="s">
        <v>400</v>
      </c>
      <c r="B366" s="23" t="s">
        <v>55</v>
      </c>
      <c r="C366" s="23">
        <v>45</v>
      </c>
      <c r="D366" s="24" t="str" cm="1">
        <f t="array" ref="D366">_xlfn.IFS(CallData[[#This Row],[Duration]]&lt;=15,"Very short",CallData[[#This Row],[Duration]]&lt;=30,"Short",CallData[[#This Row],[Duration]]&lt;=60,"Medium",CallData[[#This Row],[Duration]]&gt;60,"Long")</f>
        <v>Medium</v>
      </c>
      <c r="E366" s="24" t="s">
        <v>24</v>
      </c>
      <c r="F366" s="25">
        <v>45032</v>
      </c>
      <c r="G366" s="26">
        <v>156</v>
      </c>
      <c r="H366" s="26" t="str" cm="1">
        <f t="array" ref="H366">_xlfn.IFS(CallData[[#This Row],[Purchase Amount]]&lt;=50,"Low",CallData[[#This Row],[Purchase Amount]]&lt;=100,"Medium",CallData[[#This Row],[Purchase Amount]]&lt;=150,"High",CallData[[#This Row],[Purchase Amount]]&gt;150,"Very High")</f>
        <v>Very High</v>
      </c>
      <c r="I366" s="23">
        <v>2.7</v>
      </c>
      <c r="J366" s="23">
        <f>IF(MONTH('Call Data'!$F366)&lt;=6, YEAR('Call Data'!$F366), YEAR('Call Data'!$F366)+1)</f>
        <v>2023</v>
      </c>
      <c r="K366" s="23" t="str">
        <f>TEXT('Call Data'!$F366,"DDDD")</f>
        <v>Sunday</v>
      </c>
      <c r="L366" s="23" t="s">
        <v>27</v>
      </c>
      <c r="M366" s="23">
        <f>ROUND('Call Data'!$I366,0)</f>
        <v>3</v>
      </c>
    </row>
    <row r="367" spans="1:13" ht="14.25" customHeight="1" x14ac:dyDescent="0.35">
      <c r="A367" s="23" t="s">
        <v>401</v>
      </c>
      <c r="B367" s="23" t="s">
        <v>68</v>
      </c>
      <c r="C367" s="23">
        <v>41</v>
      </c>
      <c r="D367" s="24" t="str" cm="1">
        <f t="array" ref="D367">_xlfn.IFS(CallData[[#This Row],[Duration]]&lt;=15,"Very short",CallData[[#This Row],[Duration]]&lt;=30,"Short",CallData[[#This Row],[Duration]]&lt;=60,"Medium",CallData[[#This Row],[Duration]]&gt;60,"Long")</f>
        <v>Medium</v>
      </c>
      <c r="E367" s="24" t="s">
        <v>35</v>
      </c>
      <c r="F367" s="25">
        <v>45032</v>
      </c>
      <c r="G367" s="26">
        <v>164</v>
      </c>
      <c r="H367" s="26" t="str" cm="1">
        <f t="array" ref="H367">_xlfn.IFS(CallData[[#This Row],[Purchase Amount]]&lt;=50,"Low",CallData[[#This Row],[Purchase Amount]]&lt;=100,"Medium",CallData[[#This Row],[Purchase Amount]]&lt;=150,"High",CallData[[#This Row],[Purchase Amount]]&gt;150,"Very High")</f>
        <v>Very High</v>
      </c>
      <c r="I367" s="23">
        <v>3.1</v>
      </c>
      <c r="J367" s="23">
        <f>IF(MONTH('Call Data'!$F367)&lt;=6, YEAR('Call Data'!$F367), YEAR('Call Data'!$F367)+1)</f>
        <v>2023</v>
      </c>
      <c r="K367" s="23" t="str">
        <f>TEXT('Call Data'!$F367,"DDDD")</f>
        <v>Sunday</v>
      </c>
      <c r="L367" s="23" t="s">
        <v>27</v>
      </c>
      <c r="M367" s="23">
        <f>ROUND('Call Data'!$I367,0)</f>
        <v>3</v>
      </c>
    </row>
    <row r="368" spans="1:13" ht="14.25" customHeight="1" x14ac:dyDescent="0.35">
      <c r="A368" s="23" t="s">
        <v>402</v>
      </c>
      <c r="B368" s="23" t="s">
        <v>40</v>
      </c>
      <c r="C368" s="23">
        <v>49</v>
      </c>
      <c r="D368" s="24" t="str" cm="1">
        <f t="array" ref="D368">_xlfn.IFS(CallData[[#This Row],[Duration]]&lt;=15,"Very short",CallData[[#This Row],[Duration]]&lt;=30,"Short",CallData[[#This Row],[Duration]]&lt;=60,"Medium",CallData[[#This Row],[Duration]]&gt;60,"Long")</f>
        <v>Medium</v>
      </c>
      <c r="E368" s="24" t="s">
        <v>35</v>
      </c>
      <c r="F368" s="25">
        <v>45032</v>
      </c>
      <c r="G368" s="26">
        <v>195</v>
      </c>
      <c r="H368" s="26" t="str" cm="1">
        <f t="array" ref="H368">_xlfn.IFS(CallData[[#This Row],[Purchase Amount]]&lt;=50,"Low",CallData[[#This Row],[Purchase Amount]]&lt;=100,"Medium",CallData[[#This Row],[Purchase Amount]]&lt;=150,"High",CallData[[#This Row],[Purchase Amount]]&gt;150,"Very High")</f>
        <v>Very High</v>
      </c>
      <c r="I368" s="23">
        <v>2.6</v>
      </c>
      <c r="J368" s="23">
        <f>IF(MONTH('Call Data'!$F368)&lt;=6, YEAR('Call Data'!$F368), YEAR('Call Data'!$F368)+1)</f>
        <v>2023</v>
      </c>
      <c r="K368" s="23" t="str">
        <f>TEXT('Call Data'!$F368,"DDDD")</f>
        <v>Sunday</v>
      </c>
      <c r="L368" s="23" t="s">
        <v>27</v>
      </c>
      <c r="M368" s="23">
        <f>ROUND('Call Data'!$I368,0)</f>
        <v>3</v>
      </c>
    </row>
    <row r="369" spans="1:13" ht="14.25" customHeight="1" x14ac:dyDescent="0.35">
      <c r="A369" s="23" t="s">
        <v>403</v>
      </c>
      <c r="B369" s="23" t="s">
        <v>16</v>
      </c>
      <c r="C369" s="23">
        <v>21</v>
      </c>
      <c r="D369" s="24" t="str" cm="1">
        <f t="array" ref="D369">_xlfn.IFS(CallData[[#This Row],[Duration]]&lt;=15,"Very short",CallData[[#This Row],[Duration]]&lt;=30,"Short",CallData[[#This Row],[Duration]]&lt;=60,"Medium",CallData[[#This Row],[Duration]]&gt;60,"Long")</f>
        <v>Short</v>
      </c>
      <c r="E369" s="24" t="s">
        <v>31</v>
      </c>
      <c r="F369" s="25">
        <v>45032</v>
      </c>
      <c r="G369" s="26">
        <v>74</v>
      </c>
      <c r="H369" s="26" t="str" cm="1">
        <f t="array" ref="H369">_xlfn.IFS(CallData[[#This Row],[Purchase Amount]]&lt;=50,"Low",CallData[[#This Row],[Purchase Amount]]&lt;=100,"Medium",CallData[[#This Row],[Purchase Amount]]&lt;=150,"High",CallData[[#This Row],[Purchase Amount]]&gt;150,"Very High")</f>
        <v>Medium</v>
      </c>
      <c r="I369" s="23">
        <v>4.5999999999999996</v>
      </c>
      <c r="J369" s="23">
        <f>IF(MONTH('Call Data'!$F369)&lt;=6, YEAR('Call Data'!$F369), YEAR('Call Data'!$F369)+1)</f>
        <v>2023</v>
      </c>
      <c r="K369" s="23" t="str">
        <f>TEXT('Call Data'!$F369,"DDDD")</f>
        <v>Sunday</v>
      </c>
      <c r="L369" s="23" t="s">
        <v>47</v>
      </c>
      <c r="M369" s="23">
        <f>ROUND('Call Data'!$I369,0)</f>
        <v>5</v>
      </c>
    </row>
    <row r="370" spans="1:13" ht="14.25" customHeight="1" x14ac:dyDescent="0.35">
      <c r="A370" s="23" t="s">
        <v>404</v>
      </c>
      <c r="B370" s="23" t="s">
        <v>58</v>
      </c>
      <c r="C370" s="23">
        <v>133</v>
      </c>
      <c r="D370" s="24" t="str" cm="1">
        <f t="array" ref="D370">_xlfn.IFS(CallData[[#This Row],[Duration]]&lt;=15,"Very short",CallData[[#This Row],[Duration]]&lt;=30,"Short",CallData[[#This Row],[Duration]]&lt;=60,"Medium",CallData[[#This Row],[Duration]]&gt;60,"Long")</f>
        <v>Long</v>
      </c>
      <c r="E370" s="24" t="s">
        <v>24</v>
      </c>
      <c r="F370" s="25">
        <v>45032</v>
      </c>
      <c r="G370" s="26">
        <v>100</v>
      </c>
      <c r="H370" s="26" t="str" cm="1">
        <f t="array" ref="H370">_xlfn.IFS(CallData[[#This Row],[Purchase Amount]]&lt;=50,"Low",CallData[[#This Row],[Purchase Amount]]&lt;=100,"Medium",CallData[[#This Row],[Purchase Amount]]&lt;=150,"High",CallData[[#This Row],[Purchase Amount]]&gt;150,"Very High")</f>
        <v>Medium</v>
      </c>
      <c r="I370" s="23">
        <v>4</v>
      </c>
      <c r="J370" s="23">
        <f>IF(MONTH('Call Data'!$F370)&lt;=6, YEAR('Call Data'!$F370), YEAR('Call Data'!$F370)+1)</f>
        <v>2023</v>
      </c>
      <c r="K370" s="23" t="str">
        <f>TEXT('Call Data'!$F370,"DDDD")</f>
        <v>Sunday</v>
      </c>
      <c r="L370" s="23" t="s">
        <v>25</v>
      </c>
      <c r="M370" s="23">
        <f>ROUND('Call Data'!$I370,0)</f>
        <v>4</v>
      </c>
    </row>
    <row r="371" spans="1:13" ht="14.25" customHeight="1" x14ac:dyDescent="0.35">
      <c r="A371" s="23" t="s">
        <v>405</v>
      </c>
      <c r="B371" s="23" t="s">
        <v>12</v>
      </c>
      <c r="C371" s="23">
        <v>135</v>
      </c>
      <c r="D371" s="24" t="str" cm="1">
        <f t="array" ref="D371">_xlfn.IFS(CallData[[#This Row],[Duration]]&lt;=15,"Very short",CallData[[#This Row],[Duration]]&lt;=30,"Short",CallData[[#This Row],[Duration]]&lt;=60,"Medium",CallData[[#This Row],[Duration]]&gt;60,"Long")</f>
        <v>Long</v>
      </c>
      <c r="E371" s="24" t="s">
        <v>19</v>
      </c>
      <c r="F371" s="25">
        <v>45032</v>
      </c>
      <c r="G371" s="26">
        <v>185</v>
      </c>
      <c r="H371" s="26" t="str" cm="1">
        <f t="array" ref="H371">_xlfn.IFS(CallData[[#This Row],[Purchase Amount]]&lt;=50,"Low",CallData[[#This Row],[Purchase Amount]]&lt;=100,"Medium",CallData[[#This Row],[Purchase Amount]]&lt;=150,"High",CallData[[#This Row],[Purchase Amount]]&gt;150,"Very High")</f>
        <v>Very High</v>
      </c>
      <c r="I371" s="23">
        <v>4.5</v>
      </c>
      <c r="J371" s="23">
        <f>IF(MONTH('Call Data'!$F371)&lt;=6, YEAR('Call Data'!$F371), YEAR('Call Data'!$F371)+1)</f>
        <v>2023</v>
      </c>
      <c r="K371" s="23" t="str">
        <f>TEXT('Call Data'!$F371,"DDDD")</f>
        <v>Sunday</v>
      </c>
      <c r="L371" s="23" t="s">
        <v>25</v>
      </c>
      <c r="M371" s="23">
        <f>ROUND('Call Data'!$I371,0)</f>
        <v>5</v>
      </c>
    </row>
    <row r="372" spans="1:13" ht="14.25" customHeight="1" x14ac:dyDescent="0.35">
      <c r="A372" s="23" t="s">
        <v>406</v>
      </c>
      <c r="B372" s="23" t="s">
        <v>38</v>
      </c>
      <c r="C372" s="23">
        <v>69</v>
      </c>
      <c r="D372" s="24" t="str" cm="1">
        <f t="array" ref="D372">_xlfn.IFS(CallData[[#This Row],[Duration]]&lt;=15,"Very short",CallData[[#This Row],[Duration]]&lt;=30,"Short",CallData[[#This Row],[Duration]]&lt;=60,"Medium",CallData[[#This Row],[Duration]]&gt;60,"Long")</f>
        <v>Long</v>
      </c>
      <c r="E372" s="24" t="s">
        <v>24</v>
      </c>
      <c r="F372" s="25">
        <v>45032</v>
      </c>
      <c r="G372" s="26">
        <v>130</v>
      </c>
      <c r="H372" s="26" t="str" cm="1">
        <f t="array" ref="H372">_xlfn.IFS(CallData[[#This Row],[Purchase Amount]]&lt;=50,"Low",CallData[[#This Row],[Purchase Amount]]&lt;=100,"Medium",CallData[[#This Row],[Purchase Amount]]&lt;=150,"High",CallData[[#This Row],[Purchase Amount]]&gt;150,"Very High")</f>
        <v>High</v>
      </c>
      <c r="I372" s="23">
        <v>1.9</v>
      </c>
      <c r="J372" s="23">
        <f>IF(MONTH('Call Data'!$F372)&lt;=6, YEAR('Call Data'!$F372), YEAR('Call Data'!$F372)+1)</f>
        <v>2023</v>
      </c>
      <c r="K372" s="23" t="str">
        <f>TEXT('Call Data'!$F372,"DDDD")</f>
        <v>Sunday</v>
      </c>
      <c r="L372" s="23" t="s">
        <v>14</v>
      </c>
      <c r="M372" s="23">
        <f>ROUND('Call Data'!$I372,0)</f>
        <v>2</v>
      </c>
    </row>
    <row r="373" spans="1:13" ht="14.25" customHeight="1" x14ac:dyDescent="0.35">
      <c r="A373" s="23" t="s">
        <v>407</v>
      </c>
      <c r="B373" s="23" t="s">
        <v>34</v>
      </c>
      <c r="C373" s="23">
        <v>110</v>
      </c>
      <c r="D373" s="24" t="str" cm="1">
        <f t="array" ref="D373">_xlfn.IFS(CallData[[#This Row],[Duration]]&lt;=15,"Very short",CallData[[#This Row],[Duration]]&lt;=30,"Short",CallData[[#This Row],[Duration]]&lt;=60,"Medium",CallData[[#This Row],[Duration]]&gt;60,"Long")</f>
        <v>Long</v>
      </c>
      <c r="E373" s="24" t="s">
        <v>31</v>
      </c>
      <c r="F373" s="25">
        <v>45033</v>
      </c>
      <c r="G373" s="26">
        <v>21</v>
      </c>
      <c r="H373" s="26" t="str" cm="1">
        <f t="array" ref="H373">_xlfn.IFS(CallData[[#This Row],[Purchase Amount]]&lt;=50,"Low",CallData[[#This Row],[Purchase Amount]]&lt;=100,"Medium",CallData[[#This Row],[Purchase Amount]]&lt;=150,"High",CallData[[#This Row],[Purchase Amount]]&gt;150,"Very High")</f>
        <v>Low</v>
      </c>
      <c r="I373" s="23">
        <v>2.6</v>
      </c>
      <c r="J373" s="23">
        <f>IF(MONTH('Call Data'!$F373)&lt;=6, YEAR('Call Data'!$F373), YEAR('Call Data'!$F373)+1)</f>
        <v>2023</v>
      </c>
      <c r="K373" s="23" t="str">
        <f>TEXT('Call Data'!$F373,"DDDD")</f>
        <v>Monday</v>
      </c>
      <c r="L373" s="23" t="s">
        <v>14</v>
      </c>
      <c r="M373" s="23">
        <f>ROUND('Call Data'!$I373,0)</f>
        <v>3</v>
      </c>
    </row>
    <row r="374" spans="1:13" ht="14.25" customHeight="1" x14ac:dyDescent="0.35">
      <c r="A374" s="23" t="s">
        <v>408</v>
      </c>
      <c r="B374" s="23" t="s">
        <v>88</v>
      </c>
      <c r="C374" s="23">
        <v>64</v>
      </c>
      <c r="D374" s="24" t="str" cm="1">
        <f t="array" ref="D374">_xlfn.IFS(CallData[[#This Row],[Duration]]&lt;=15,"Very short",CallData[[#This Row],[Duration]]&lt;=30,"Short",CallData[[#This Row],[Duration]]&lt;=60,"Medium",CallData[[#This Row],[Duration]]&gt;60,"Long")</f>
        <v>Long</v>
      </c>
      <c r="E374" s="24" t="s">
        <v>13</v>
      </c>
      <c r="F374" s="25">
        <v>45033</v>
      </c>
      <c r="G374" s="26">
        <v>88</v>
      </c>
      <c r="H374" s="26" t="str" cm="1">
        <f t="array" ref="H374">_xlfn.IFS(CallData[[#This Row],[Purchase Amount]]&lt;=50,"Low",CallData[[#This Row],[Purchase Amount]]&lt;=100,"Medium",CallData[[#This Row],[Purchase Amount]]&lt;=150,"High",CallData[[#This Row],[Purchase Amount]]&gt;150,"Very High")</f>
        <v>Medium</v>
      </c>
      <c r="I374" s="23">
        <v>4.3</v>
      </c>
      <c r="J374" s="23">
        <f>IF(MONTH('Call Data'!$F374)&lt;=6, YEAR('Call Data'!$F374), YEAR('Call Data'!$F374)+1)</f>
        <v>2023</v>
      </c>
      <c r="K374" s="23" t="str">
        <f>TEXT('Call Data'!$F374,"DDDD")</f>
        <v>Monday</v>
      </c>
      <c r="L374" s="23" t="s">
        <v>14</v>
      </c>
      <c r="M374" s="23">
        <f>ROUND('Call Data'!$I374,0)</f>
        <v>4</v>
      </c>
    </row>
    <row r="375" spans="1:13" ht="14.25" customHeight="1" x14ac:dyDescent="0.35">
      <c r="A375" s="23" t="s">
        <v>409</v>
      </c>
      <c r="B375" s="23" t="s">
        <v>18</v>
      </c>
      <c r="C375" s="23">
        <v>105</v>
      </c>
      <c r="D375" s="24" t="str" cm="1">
        <f t="array" ref="D375">_xlfn.IFS(CallData[[#This Row],[Duration]]&lt;=15,"Very short",CallData[[#This Row],[Duration]]&lt;=30,"Short",CallData[[#This Row],[Duration]]&lt;=60,"Medium",CallData[[#This Row],[Duration]]&gt;60,"Long")</f>
        <v>Long</v>
      </c>
      <c r="E375" s="24" t="s">
        <v>35</v>
      </c>
      <c r="F375" s="25">
        <v>45033</v>
      </c>
      <c r="G375" s="26">
        <v>35</v>
      </c>
      <c r="H375" s="26" t="str" cm="1">
        <f t="array" ref="H375">_xlfn.IFS(CallData[[#This Row],[Purchase Amount]]&lt;=50,"Low",CallData[[#This Row],[Purchase Amount]]&lt;=100,"Medium",CallData[[#This Row],[Purchase Amount]]&lt;=150,"High",CallData[[#This Row],[Purchase Amount]]&gt;150,"Very High")</f>
        <v>Low</v>
      </c>
      <c r="I375" s="23">
        <v>4.4000000000000004</v>
      </c>
      <c r="J375" s="23">
        <f>IF(MONTH('Call Data'!$F375)&lt;=6, YEAR('Call Data'!$F375), YEAR('Call Data'!$F375)+1)</f>
        <v>2023</v>
      </c>
      <c r="K375" s="23" t="str">
        <f>TEXT('Call Data'!$F375,"DDDD")</f>
        <v>Monday</v>
      </c>
      <c r="L375" s="23" t="s">
        <v>14</v>
      </c>
      <c r="M375" s="23">
        <f>ROUND('Call Data'!$I375,0)</f>
        <v>4</v>
      </c>
    </row>
    <row r="376" spans="1:13" ht="14.25" customHeight="1" x14ac:dyDescent="0.35">
      <c r="A376" s="23" t="s">
        <v>410</v>
      </c>
      <c r="B376" s="23" t="s">
        <v>88</v>
      </c>
      <c r="C376" s="23">
        <v>165</v>
      </c>
      <c r="D376" s="24" t="str" cm="1">
        <f t="array" ref="D376">_xlfn.IFS(CallData[[#This Row],[Duration]]&lt;=15,"Very short",CallData[[#This Row],[Duration]]&lt;=30,"Short",CallData[[#This Row],[Duration]]&lt;=60,"Medium",CallData[[#This Row],[Duration]]&gt;60,"Long")</f>
        <v>Long</v>
      </c>
      <c r="E376" s="24" t="s">
        <v>19</v>
      </c>
      <c r="F376" s="25">
        <v>45033</v>
      </c>
      <c r="G376" s="26">
        <v>68</v>
      </c>
      <c r="H376" s="26" t="str" cm="1">
        <f t="array" ref="H376">_xlfn.IFS(CallData[[#This Row],[Purchase Amount]]&lt;=50,"Low",CallData[[#This Row],[Purchase Amount]]&lt;=100,"Medium",CallData[[#This Row],[Purchase Amount]]&lt;=150,"High",CallData[[#This Row],[Purchase Amount]]&gt;150,"Very High")</f>
        <v>Medium</v>
      </c>
      <c r="I376" s="23">
        <v>4.3</v>
      </c>
      <c r="J376" s="23">
        <f>IF(MONTH('Call Data'!$F376)&lt;=6, YEAR('Call Data'!$F376), YEAR('Call Data'!$F376)+1)</f>
        <v>2023</v>
      </c>
      <c r="K376" s="23" t="str">
        <f>TEXT('Call Data'!$F376,"DDDD")</f>
        <v>Monday</v>
      </c>
      <c r="L376" s="23" t="s">
        <v>25</v>
      </c>
      <c r="M376" s="23">
        <f>ROUND('Call Data'!$I376,0)</f>
        <v>4</v>
      </c>
    </row>
    <row r="377" spans="1:13" ht="14.25" customHeight="1" x14ac:dyDescent="0.35">
      <c r="A377" s="23" t="s">
        <v>411</v>
      </c>
      <c r="B377" s="23" t="s">
        <v>55</v>
      </c>
      <c r="C377" s="23">
        <v>125</v>
      </c>
      <c r="D377" s="24" t="str" cm="1">
        <f t="array" ref="D377">_xlfn.IFS(CallData[[#This Row],[Duration]]&lt;=15,"Very short",CallData[[#This Row],[Duration]]&lt;=30,"Short",CallData[[#This Row],[Duration]]&lt;=60,"Medium",CallData[[#This Row],[Duration]]&gt;60,"Long")</f>
        <v>Long</v>
      </c>
      <c r="E377" s="24" t="s">
        <v>19</v>
      </c>
      <c r="F377" s="25">
        <v>45033</v>
      </c>
      <c r="G377" s="26">
        <v>148</v>
      </c>
      <c r="H377" s="26" t="str" cm="1">
        <f t="array" ref="H377">_xlfn.IFS(CallData[[#This Row],[Purchase Amount]]&lt;=50,"Low",CallData[[#This Row],[Purchase Amount]]&lt;=100,"Medium",CallData[[#This Row],[Purchase Amount]]&lt;=150,"High",CallData[[#This Row],[Purchase Amount]]&gt;150,"Very High")</f>
        <v>High</v>
      </c>
      <c r="I377" s="23">
        <v>4.5</v>
      </c>
      <c r="J377" s="23">
        <f>IF(MONTH('Call Data'!$F377)&lt;=6, YEAR('Call Data'!$F377), YEAR('Call Data'!$F377)+1)</f>
        <v>2023</v>
      </c>
      <c r="K377" s="23" t="str">
        <f>TEXT('Call Data'!$F377,"DDDD")</f>
        <v>Monday</v>
      </c>
      <c r="L377" s="23" t="s">
        <v>25</v>
      </c>
      <c r="M377" s="23">
        <f>ROUND('Call Data'!$I377,0)</f>
        <v>5</v>
      </c>
    </row>
    <row r="378" spans="1:13" ht="14.25" customHeight="1" x14ac:dyDescent="0.35">
      <c r="A378" s="23" t="s">
        <v>412</v>
      </c>
      <c r="B378" s="23" t="s">
        <v>18</v>
      </c>
      <c r="C378" s="23">
        <v>88</v>
      </c>
      <c r="D378" s="24" t="str" cm="1">
        <f t="array" ref="D378">_xlfn.IFS(CallData[[#This Row],[Duration]]&lt;=15,"Very short",CallData[[#This Row],[Duration]]&lt;=30,"Short",CallData[[#This Row],[Duration]]&lt;=60,"Medium",CallData[[#This Row],[Duration]]&gt;60,"Long")</f>
        <v>Long</v>
      </c>
      <c r="E378" s="24" t="s">
        <v>13</v>
      </c>
      <c r="F378" s="25">
        <v>45034</v>
      </c>
      <c r="G378" s="26">
        <v>81</v>
      </c>
      <c r="H378" s="26" t="str" cm="1">
        <f t="array" ref="H378">_xlfn.IFS(CallData[[#This Row],[Purchase Amount]]&lt;=50,"Low",CallData[[#This Row],[Purchase Amount]]&lt;=100,"Medium",CallData[[#This Row],[Purchase Amount]]&lt;=150,"High",CallData[[#This Row],[Purchase Amount]]&gt;150,"Very High")</f>
        <v>Medium</v>
      </c>
      <c r="I378" s="23">
        <v>4.2</v>
      </c>
      <c r="J378" s="23">
        <f>IF(MONTH('Call Data'!$F378)&lt;=6, YEAR('Call Data'!$F378), YEAR('Call Data'!$F378)+1)</f>
        <v>2023</v>
      </c>
      <c r="K378" s="23" t="str">
        <f>TEXT('Call Data'!$F378,"DDDD")</f>
        <v>Tuesday</v>
      </c>
      <c r="L378" s="23" t="s">
        <v>14</v>
      </c>
      <c r="M378" s="23">
        <f>ROUND('Call Data'!$I378,0)</f>
        <v>4</v>
      </c>
    </row>
    <row r="379" spans="1:13" ht="14.25" customHeight="1" x14ac:dyDescent="0.35">
      <c r="A379" s="23" t="s">
        <v>413</v>
      </c>
      <c r="B379" s="23" t="s">
        <v>38</v>
      </c>
      <c r="C379" s="23">
        <v>6</v>
      </c>
      <c r="D379" s="24" t="str" cm="1">
        <f t="array" ref="D379">_xlfn.IFS(CallData[[#This Row],[Duration]]&lt;=15,"Very short",CallData[[#This Row],[Duration]]&lt;=30,"Short",CallData[[#This Row],[Duration]]&lt;=60,"Medium",CallData[[#This Row],[Duration]]&gt;60,"Long")</f>
        <v>Very short</v>
      </c>
      <c r="E379" s="24" t="s">
        <v>13</v>
      </c>
      <c r="F379" s="25">
        <v>45034</v>
      </c>
      <c r="G379" s="26">
        <v>75</v>
      </c>
      <c r="H379" s="26" t="str" cm="1">
        <f t="array" ref="H379">_xlfn.IFS(CallData[[#This Row],[Purchase Amount]]&lt;=50,"Low",CallData[[#This Row],[Purchase Amount]]&lt;=100,"Medium",CallData[[#This Row],[Purchase Amount]]&lt;=150,"High",CallData[[#This Row],[Purchase Amount]]&gt;150,"Very High")</f>
        <v>Medium</v>
      </c>
      <c r="I379" s="23">
        <v>3.9</v>
      </c>
      <c r="J379" s="23">
        <f>IF(MONTH('Call Data'!$F379)&lt;=6, YEAR('Call Data'!$F379), YEAR('Call Data'!$F379)+1)</f>
        <v>2023</v>
      </c>
      <c r="K379" s="23" t="str">
        <f>TEXT('Call Data'!$F379,"DDDD")</f>
        <v>Tuesday</v>
      </c>
      <c r="L379" s="23" t="s">
        <v>176</v>
      </c>
      <c r="M379" s="23">
        <f>ROUND('Call Data'!$I379,0)</f>
        <v>4</v>
      </c>
    </row>
    <row r="380" spans="1:13" ht="14.25" customHeight="1" x14ac:dyDescent="0.35">
      <c r="A380" s="23" t="s">
        <v>414</v>
      </c>
      <c r="B380" s="23" t="s">
        <v>46</v>
      </c>
      <c r="C380" s="23">
        <v>69</v>
      </c>
      <c r="D380" s="24" t="str" cm="1">
        <f t="array" ref="D380">_xlfn.IFS(CallData[[#This Row],[Duration]]&lt;=15,"Very short",CallData[[#This Row],[Duration]]&lt;=30,"Short",CallData[[#This Row],[Duration]]&lt;=60,"Medium",CallData[[#This Row],[Duration]]&gt;60,"Long")</f>
        <v>Long</v>
      </c>
      <c r="E380" s="24" t="s">
        <v>24</v>
      </c>
      <c r="F380" s="25">
        <v>45035</v>
      </c>
      <c r="G380" s="26">
        <v>32</v>
      </c>
      <c r="H380" s="26" t="str" cm="1">
        <f t="array" ref="H380">_xlfn.IFS(CallData[[#This Row],[Purchase Amount]]&lt;=50,"Low",CallData[[#This Row],[Purchase Amount]]&lt;=100,"Medium",CallData[[#This Row],[Purchase Amount]]&lt;=150,"High",CallData[[#This Row],[Purchase Amount]]&gt;150,"Very High")</f>
        <v>Low</v>
      </c>
      <c r="I380" s="23">
        <v>3.6</v>
      </c>
      <c r="J380" s="23">
        <f>IF(MONTH('Call Data'!$F380)&lt;=6, YEAR('Call Data'!$F380), YEAR('Call Data'!$F380)+1)</f>
        <v>2023</v>
      </c>
      <c r="K380" s="23" t="str">
        <f>TEXT('Call Data'!$F380,"DDDD")</f>
        <v>Wednesday</v>
      </c>
      <c r="L380" s="23" t="s">
        <v>14</v>
      </c>
      <c r="M380" s="23">
        <f>ROUND('Call Data'!$I380,0)</f>
        <v>4</v>
      </c>
    </row>
    <row r="381" spans="1:13" ht="14.25" customHeight="1" x14ac:dyDescent="0.35">
      <c r="A381" s="23" t="s">
        <v>415</v>
      </c>
      <c r="B381" s="23" t="s">
        <v>68</v>
      </c>
      <c r="C381" s="23">
        <v>107</v>
      </c>
      <c r="D381" s="24" t="str" cm="1">
        <f t="array" ref="D381">_xlfn.IFS(CallData[[#This Row],[Duration]]&lt;=15,"Very short",CallData[[#This Row],[Duration]]&lt;=30,"Short",CallData[[#This Row],[Duration]]&lt;=60,"Medium",CallData[[#This Row],[Duration]]&gt;60,"Long")</f>
        <v>Long</v>
      </c>
      <c r="E381" s="24" t="s">
        <v>24</v>
      </c>
      <c r="F381" s="25">
        <v>45035</v>
      </c>
      <c r="G381" s="26">
        <v>156</v>
      </c>
      <c r="H381" s="26" t="str" cm="1">
        <f t="array" ref="H381">_xlfn.IFS(CallData[[#This Row],[Purchase Amount]]&lt;=50,"Low",CallData[[#This Row],[Purchase Amount]]&lt;=100,"Medium",CallData[[#This Row],[Purchase Amount]]&lt;=150,"High",CallData[[#This Row],[Purchase Amount]]&gt;150,"Very High")</f>
        <v>Very High</v>
      </c>
      <c r="I381" s="23">
        <v>3.8</v>
      </c>
      <c r="J381" s="23">
        <f>IF(MONTH('Call Data'!$F381)&lt;=6, YEAR('Call Data'!$F381), YEAR('Call Data'!$F381)+1)</f>
        <v>2023</v>
      </c>
      <c r="K381" s="23" t="str">
        <f>TEXT('Call Data'!$F381,"DDDD")</f>
        <v>Wednesday</v>
      </c>
      <c r="L381" s="23" t="s">
        <v>14</v>
      </c>
      <c r="M381" s="23">
        <f>ROUND('Call Data'!$I381,0)</f>
        <v>4</v>
      </c>
    </row>
    <row r="382" spans="1:13" ht="14.25" customHeight="1" x14ac:dyDescent="0.35">
      <c r="A382" s="23" t="s">
        <v>416</v>
      </c>
      <c r="B382" s="23" t="s">
        <v>16</v>
      </c>
      <c r="C382" s="23">
        <v>90</v>
      </c>
      <c r="D382" s="24" t="str" cm="1">
        <f t="array" ref="D382">_xlfn.IFS(CallData[[#This Row],[Duration]]&lt;=15,"Very short",CallData[[#This Row],[Duration]]&lt;=30,"Short",CallData[[#This Row],[Duration]]&lt;=60,"Medium",CallData[[#This Row],[Duration]]&gt;60,"Long")</f>
        <v>Long</v>
      </c>
      <c r="E382" s="24" t="s">
        <v>19</v>
      </c>
      <c r="F382" s="25">
        <v>45035</v>
      </c>
      <c r="G382" s="26">
        <v>99</v>
      </c>
      <c r="H382" s="26" t="str" cm="1">
        <f t="array" ref="H382">_xlfn.IFS(CallData[[#This Row],[Purchase Amount]]&lt;=50,"Low",CallData[[#This Row],[Purchase Amount]]&lt;=100,"Medium",CallData[[#This Row],[Purchase Amount]]&lt;=150,"High",CallData[[#This Row],[Purchase Amount]]&gt;150,"Very High")</f>
        <v>Medium</v>
      </c>
      <c r="I382" s="23">
        <v>4.9000000000000004</v>
      </c>
      <c r="J382" s="23">
        <f>IF(MONTH('Call Data'!$F382)&lt;=6, YEAR('Call Data'!$F382), YEAR('Call Data'!$F382)+1)</f>
        <v>2023</v>
      </c>
      <c r="K382" s="23" t="str">
        <f>TEXT('Call Data'!$F382,"DDDD")</f>
        <v>Wednesday</v>
      </c>
      <c r="L382" s="23" t="s">
        <v>14</v>
      </c>
      <c r="M382" s="23">
        <f>ROUND('Call Data'!$I382,0)</f>
        <v>5</v>
      </c>
    </row>
    <row r="383" spans="1:13" ht="14.25" customHeight="1" x14ac:dyDescent="0.35">
      <c r="A383" s="23" t="s">
        <v>417</v>
      </c>
      <c r="B383" s="23" t="s">
        <v>12</v>
      </c>
      <c r="C383" s="23">
        <v>120</v>
      </c>
      <c r="D383" s="24" t="str" cm="1">
        <f t="array" ref="D383">_xlfn.IFS(CallData[[#This Row],[Duration]]&lt;=15,"Very short",CallData[[#This Row],[Duration]]&lt;=30,"Short",CallData[[#This Row],[Duration]]&lt;=60,"Medium",CallData[[#This Row],[Duration]]&gt;60,"Long")</f>
        <v>Long</v>
      </c>
      <c r="E383" s="24" t="s">
        <v>35</v>
      </c>
      <c r="F383" s="25">
        <v>45035</v>
      </c>
      <c r="G383" s="26">
        <v>26</v>
      </c>
      <c r="H383" s="26" t="str" cm="1">
        <f t="array" ref="H383">_xlfn.IFS(CallData[[#This Row],[Purchase Amount]]&lt;=50,"Low",CallData[[#This Row],[Purchase Amount]]&lt;=100,"Medium",CallData[[#This Row],[Purchase Amount]]&lt;=150,"High",CallData[[#This Row],[Purchase Amount]]&gt;150,"Very High")</f>
        <v>Low</v>
      </c>
      <c r="I383" s="23">
        <v>4</v>
      </c>
      <c r="J383" s="23">
        <f>IF(MONTH('Call Data'!$F383)&lt;=6, YEAR('Call Data'!$F383), YEAR('Call Data'!$F383)+1)</f>
        <v>2023</v>
      </c>
      <c r="K383" s="23" t="str">
        <f>TEXT('Call Data'!$F383,"DDDD")</f>
        <v>Wednesday</v>
      </c>
      <c r="L383" s="23" t="s">
        <v>14</v>
      </c>
      <c r="M383" s="23">
        <f>ROUND('Call Data'!$I383,0)</f>
        <v>4</v>
      </c>
    </row>
    <row r="384" spans="1:13" ht="14.25" customHeight="1" x14ac:dyDescent="0.35">
      <c r="A384" s="23" t="s">
        <v>418</v>
      </c>
      <c r="B384" s="23" t="s">
        <v>23</v>
      </c>
      <c r="C384" s="23">
        <v>47</v>
      </c>
      <c r="D384" s="24" t="str" cm="1">
        <f t="array" ref="D384">_xlfn.IFS(CallData[[#This Row],[Duration]]&lt;=15,"Very short",CallData[[#This Row],[Duration]]&lt;=30,"Short",CallData[[#This Row],[Duration]]&lt;=60,"Medium",CallData[[#This Row],[Duration]]&gt;60,"Long")</f>
        <v>Medium</v>
      </c>
      <c r="E384" s="24" t="s">
        <v>24</v>
      </c>
      <c r="F384" s="25">
        <v>45035</v>
      </c>
      <c r="G384" s="26">
        <v>84</v>
      </c>
      <c r="H384" s="26" t="str" cm="1">
        <f t="array" ref="H384">_xlfn.IFS(CallData[[#This Row],[Purchase Amount]]&lt;=50,"Low",CallData[[#This Row],[Purchase Amount]]&lt;=100,"Medium",CallData[[#This Row],[Purchase Amount]]&lt;=150,"High",CallData[[#This Row],[Purchase Amount]]&gt;150,"Very High")</f>
        <v>Medium</v>
      </c>
      <c r="I384" s="23">
        <v>4.0999999999999996</v>
      </c>
      <c r="J384" s="23">
        <f>IF(MONTH('Call Data'!$F384)&lt;=6, YEAR('Call Data'!$F384), YEAR('Call Data'!$F384)+1)</f>
        <v>2023</v>
      </c>
      <c r="K384" s="23" t="str">
        <f>TEXT('Call Data'!$F384,"DDDD")</f>
        <v>Wednesday</v>
      </c>
      <c r="L384" s="23" t="s">
        <v>27</v>
      </c>
      <c r="M384" s="23">
        <f>ROUND('Call Data'!$I384,0)</f>
        <v>4</v>
      </c>
    </row>
    <row r="385" spans="1:13" ht="14.25" customHeight="1" x14ac:dyDescent="0.35">
      <c r="A385" s="23" t="s">
        <v>419</v>
      </c>
      <c r="B385" s="23" t="s">
        <v>21</v>
      </c>
      <c r="C385" s="23">
        <v>60</v>
      </c>
      <c r="D385" s="24" t="str" cm="1">
        <f t="array" ref="D385">_xlfn.IFS(CallData[[#This Row],[Duration]]&lt;=15,"Very short",CallData[[#This Row],[Duration]]&lt;=30,"Short",CallData[[#This Row],[Duration]]&lt;=60,"Medium",CallData[[#This Row],[Duration]]&gt;60,"Long")</f>
        <v>Medium</v>
      </c>
      <c r="E385" s="24" t="s">
        <v>35</v>
      </c>
      <c r="F385" s="25">
        <v>45035</v>
      </c>
      <c r="G385" s="26">
        <v>84</v>
      </c>
      <c r="H385" s="26" t="str" cm="1">
        <f t="array" ref="H385">_xlfn.IFS(CallData[[#This Row],[Purchase Amount]]&lt;=50,"Low",CallData[[#This Row],[Purchase Amount]]&lt;=100,"Medium",CallData[[#This Row],[Purchase Amount]]&lt;=150,"High",CallData[[#This Row],[Purchase Amount]]&gt;150,"Very High")</f>
        <v>Medium</v>
      </c>
      <c r="I385" s="23">
        <v>4.8</v>
      </c>
      <c r="J385" s="23">
        <f>IF(MONTH('Call Data'!$F385)&lt;=6, YEAR('Call Data'!$F385), YEAR('Call Data'!$F385)+1)</f>
        <v>2023</v>
      </c>
      <c r="K385" s="23" t="str">
        <f>TEXT('Call Data'!$F385,"DDDD")</f>
        <v>Wednesday</v>
      </c>
      <c r="L385" s="23" t="s">
        <v>27</v>
      </c>
      <c r="M385" s="23">
        <f>ROUND('Call Data'!$I385,0)</f>
        <v>5</v>
      </c>
    </row>
    <row r="386" spans="1:13" ht="14.25" customHeight="1" x14ac:dyDescent="0.35">
      <c r="A386" s="23" t="s">
        <v>420</v>
      </c>
      <c r="B386" s="23" t="s">
        <v>50</v>
      </c>
      <c r="C386" s="23">
        <v>64</v>
      </c>
      <c r="D386" s="24" t="str" cm="1">
        <f t="array" ref="D386">_xlfn.IFS(CallData[[#This Row],[Duration]]&lt;=15,"Very short",CallData[[#This Row],[Duration]]&lt;=30,"Short",CallData[[#This Row],[Duration]]&lt;=60,"Medium",CallData[[#This Row],[Duration]]&gt;60,"Long")</f>
        <v>Long</v>
      </c>
      <c r="E386" s="24" t="s">
        <v>19</v>
      </c>
      <c r="F386" s="25">
        <v>45035</v>
      </c>
      <c r="G386" s="26">
        <v>170</v>
      </c>
      <c r="H386" s="26" t="str" cm="1">
        <f t="array" ref="H386">_xlfn.IFS(CallData[[#This Row],[Purchase Amount]]&lt;=50,"Low",CallData[[#This Row],[Purchase Amount]]&lt;=100,"Medium",CallData[[#This Row],[Purchase Amount]]&lt;=150,"High",CallData[[#This Row],[Purchase Amount]]&gt;150,"Very High")</f>
        <v>Very High</v>
      </c>
      <c r="I386" s="23">
        <v>2.2999999999999998</v>
      </c>
      <c r="J386" s="23">
        <f>IF(MONTH('Call Data'!$F386)&lt;=6, YEAR('Call Data'!$F386), YEAR('Call Data'!$F386)+1)</f>
        <v>2023</v>
      </c>
      <c r="K386" s="23" t="str">
        <f>TEXT('Call Data'!$F386,"DDDD")</f>
        <v>Wednesday</v>
      </c>
      <c r="L386" s="23" t="s">
        <v>14</v>
      </c>
      <c r="M386" s="23">
        <f>ROUND('Call Data'!$I386,0)</f>
        <v>2</v>
      </c>
    </row>
    <row r="387" spans="1:13" ht="14.25" customHeight="1" x14ac:dyDescent="0.35">
      <c r="A387" s="23" t="s">
        <v>421</v>
      </c>
      <c r="B387" s="23" t="s">
        <v>88</v>
      </c>
      <c r="C387" s="23">
        <v>62</v>
      </c>
      <c r="D387" s="24" t="str" cm="1">
        <f t="array" ref="D387">_xlfn.IFS(CallData[[#This Row],[Duration]]&lt;=15,"Very short",CallData[[#This Row],[Duration]]&lt;=30,"Short",CallData[[#This Row],[Duration]]&lt;=60,"Medium",CallData[[#This Row],[Duration]]&gt;60,"Long")</f>
        <v>Long</v>
      </c>
      <c r="E387" s="24" t="s">
        <v>24</v>
      </c>
      <c r="F387" s="25">
        <v>45035</v>
      </c>
      <c r="G387" s="26">
        <v>35</v>
      </c>
      <c r="H387" s="26" t="str" cm="1">
        <f t="array" ref="H387">_xlfn.IFS(CallData[[#This Row],[Purchase Amount]]&lt;=50,"Low",CallData[[#This Row],[Purchase Amount]]&lt;=100,"Medium",CallData[[#This Row],[Purchase Amount]]&lt;=150,"High",CallData[[#This Row],[Purchase Amount]]&gt;150,"Very High")</f>
        <v>Low</v>
      </c>
      <c r="I387" s="23">
        <v>4.4000000000000004</v>
      </c>
      <c r="J387" s="23">
        <f>IF(MONTH('Call Data'!$F387)&lt;=6, YEAR('Call Data'!$F387), YEAR('Call Data'!$F387)+1)</f>
        <v>2023</v>
      </c>
      <c r="K387" s="23" t="str">
        <f>TEXT('Call Data'!$F387,"DDDD")</f>
        <v>Wednesday</v>
      </c>
      <c r="L387" s="23" t="s">
        <v>14</v>
      </c>
      <c r="M387" s="23">
        <f>ROUND('Call Data'!$I387,0)</f>
        <v>4</v>
      </c>
    </row>
    <row r="388" spans="1:13" ht="14.25" customHeight="1" x14ac:dyDescent="0.35">
      <c r="A388" s="23" t="s">
        <v>422</v>
      </c>
      <c r="B388" s="23" t="s">
        <v>34</v>
      </c>
      <c r="C388" s="23">
        <v>88</v>
      </c>
      <c r="D388" s="24" t="str" cm="1">
        <f t="array" ref="D388">_xlfn.IFS(CallData[[#This Row],[Duration]]&lt;=15,"Very short",CallData[[#This Row],[Duration]]&lt;=30,"Short",CallData[[#This Row],[Duration]]&lt;=60,"Medium",CallData[[#This Row],[Duration]]&gt;60,"Long")</f>
        <v>Long</v>
      </c>
      <c r="E388" s="24" t="s">
        <v>24</v>
      </c>
      <c r="F388" s="25">
        <v>45036</v>
      </c>
      <c r="G388" s="26">
        <v>35</v>
      </c>
      <c r="H388" s="26" t="str" cm="1">
        <f t="array" ref="H388">_xlfn.IFS(CallData[[#This Row],[Purchase Amount]]&lt;=50,"Low",CallData[[#This Row],[Purchase Amount]]&lt;=100,"Medium",CallData[[#This Row],[Purchase Amount]]&lt;=150,"High",CallData[[#This Row],[Purchase Amount]]&gt;150,"Very High")</f>
        <v>Low</v>
      </c>
      <c r="I388" s="23">
        <v>3.8</v>
      </c>
      <c r="J388" s="23">
        <f>IF(MONTH('Call Data'!$F388)&lt;=6, YEAR('Call Data'!$F388), YEAR('Call Data'!$F388)+1)</f>
        <v>2023</v>
      </c>
      <c r="K388" s="23" t="str">
        <f>TEXT('Call Data'!$F388,"DDDD")</f>
        <v>Thursday</v>
      </c>
      <c r="L388" s="23" t="s">
        <v>14</v>
      </c>
      <c r="M388" s="23">
        <f>ROUND('Call Data'!$I388,0)</f>
        <v>4</v>
      </c>
    </row>
    <row r="389" spans="1:13" ht="14.25" customHeight="1" x14ac:dyDescent="0.35">
      <c r="A389" s="23" t="s">
        <v>423</v>
      </c>
      <c r="B389" s="23" t="s">
        <v>55</v>
      </c>
      <c r="C389" s="23">
        <v>116</v>
      </c>
      <c r="D389" s="24" t="str" cm="1">
        <f t="array" ref="D389">_xlfn.IFS(CallData[[#This Row],[Duration]]&lt;=15,"Very short",CallData[[#This Row],[Duration]]&lt;=30,"Short",CallData[[#This Row],[Duration]]&lt;=60,"Medium",CallData[[#This Row],[Duration]]&gt;60,"Long")</f>
        <v>Long</v>
      </c>
      <c r="E389" s="24" t="s">
        <v>24</v>
      </c>
      <c r="F389" s="25">
        <v>45036</v>
      </c>
      <c r="G389" s="26">
        <v>132</v>
      </c>
      <c r="H389" s="26" t="str" cm="1">
        <f t="array" ref="H389">_xlfn.IFS(CallData[[#This Row],[Purchase Amount]]&lt;=50,"Low",CallData[[#This Row],[Purchase Amount]]&lt;=100,"Medium",CallData[[#This Row],[Purchase Amount]]&lt;=150,"High",CallData[[#This Row],[Purchase Amount]]&gt;150,"Very High")</f>
        <v>High</v>
      </c>
      <c r="I389" s="23">
        <v>5</v>
      </c>
      <c r="J389" s="23">
        <f>IF(MONTH('Call Data'!$F389)&lt;=6, YEAR('Call Data'!$F389), YEAR('Call Data'!$F389)+1)</f>
        <v>2023</v>
      </c>
      <c r="K389" s="23" t="str">
        <f>TEXT('Call Data'!$F389,"DDDD")</f>
        <v>Thursday</v>
      </c>
      <c r="L389" s="23" t="s">
        <v>14</v>
      </c>
      <c r="M389" s="23">
        <f>ROUND('Call Data'!$I389,0)</f>
        <v>5</v>
      </c>
    </row>
    <row r="390" spans="1:13" ht="14.25" customHeight="1" x14ac:dyDescent="0.35">
      <c r="A390" s="23" t="s">
        <v>424</v>
      </c>
      <c r="B390" s="23" t="s">
        <v>16</v>
      </c>
      <c r="C390" s="23">
        <v>82</v>
      </c>
      <c r="D390" s="24" t="str" cm="1">
        <f t="array" ref="D390">_xlfn.IFS(CallData[[#This Row],[Duration]]&lt;=15,"Very short",CallData[[#This Row],[Duration]]&lt;=30,"Short",CallData[[#This Row],[Duration]]&lt;=60,"Medium",CallData[[#This Row],[Duration]]&gt;60,"Long")</f>
        <v>Long</v>
      </c>
      <c r="E390" s="24" t="s">
        <v>13</v>
      </c>
      <c r="F390" s="25">
        <v>45037</v>
      </c>
      <c r="G390" s="26">
        <v>144</v>
      </c>
      <c r="H390" s="26" t="str" cm="1">
        <f t="array" ref="H390">_xlfn.IFS(CallData[[#This Row],[Purchase Amount]]&lt;=50,"Low",CallData[[#This Row],[Purchase Amount]]&lt;=100,"Medium",CallData[[#This Row],[Purchase Amount]]&lt;=150,"High",CallData[[#This Row],[Purchase Amount]]&gt;150,"Very High")</f>
        <v>High</v>
      </c>
      <c r="I390" s="23">
        <v>3.3</v>
      </c>
      <c r="J390" s="23">
        <f>IF(MONTH('Call Data'!$F390)&lt;=6, YEAR('Call Data'!$F390), YEAR('Call Data'!$F390)+1)</f>
        <v>2023</v>
      </c>
      <c r="K390" s="23" t="str">
        <f>TEXT('Call Data'!$F390,"DDDD")</f>
        <v>Friday</v>
      </c>
      <c r="L390" s="23" t="s">
        <v>14</v>
      </c>
      <c r="M390" s="23">
        <f>ROUND('Call Data'!$I390,0)</f>
        <v>3</v>
      </c>
    </row>
    <row r="391" spans="1:13" ht="14.25" customHeight="1" x14ac:dyDescent="0.35">
      <c r="A391" s="23" t="s">
        <v>425</v>
      </c>
      <c r="B391" s="23" t="s">
        <v>88</v>
      </c>
      <c r="C391" s="23">
        <v>99</v>
      </c>
      <c r="D391" s="24" t="str" cm="1">
        <f t="array" ref="D391">_xlfn.IFS(CallData[[#This Row],[Duration]]&lt;=15,"Very short",CallData[[#This Row],[Duration]]&lt;=30,"Short",CallData[[#This Row],[Duration]]&lt;=60,"Medium",CallData[[#This Row],[Duration]]&gt;60,"Long")</f>
        <v>Long</v>
      </c>
      <c r="E391" s="24" t="s">
        <v>19</v>
      </c>
      <c r="F391" s="25">
        <v>45037</v>
      </c>
      <c r="G391" s="26">
        <v>48</v>
      </c>
      <c r="H391" s="26" t="str" cm="1">
        <f t="array" ref="H391">_xlfn.IFS(CallData[[#This Row],[Purchase Amount]]&lt;=50,"Low",CallData[[#This Row],[Purchase Amount]]&lt;=100,"Medium",CallData[[#This Row],[Purchase Amount]]&lt;=150,"High",CallData[[#This Row],[Purchase Amount]]&gt;150,"Very High")</f>
        <v>Low</v>
      </c>
      <c r="I391" s="23">
        <v>5</v>
      </c>
      <c r="J391" s="23">
        <f>IF(MONTH('Call Data'!$F391)&lt;=6, YEAR('Call Data'!$F391), YEAR('Call Data'!$F391)+1)</f>
        <v>2023</v>
      </c>
      <c r="K391" s="23" t="str">
        <f>TEXT('Call Data'!$F391,"DDDD")</f>
        <v>Friday</v>
      </c>
      <c r="L391" s="23" t="s">
        <v>14</v>
      </c>
      <c r="M391" s="23">
        <f>ROUND('Call Data'!$I391,0)</f>
        <v>5</v>
      </c>
    </row>
    <row r="392" spans="1:13" ht="14.25" customHeight="1" x14ac:dyDescent="0.35">
      <c r="A392" s="23" t="s">
        <v>426</v>
      </c>
      <c r="B392" s="23" t="s">
        <v>88</v>
      </c>
      <c r="C392" s="23">
        <v>55</v>
      </c>
      <c r="D392" s="24" t="str" cm="1">
        <f t="array" ref="D392">_xlfn.IFS(CallData[[#This Row],[Duration]]&lt;=15,"Very short",CallData[[#This Row],[Duration]]&lt;=30,"Short",CallData[[#This Row],[Duration]]&lt;=60,"Medium",CallData[[#This Row],[Duration]]&gt;60,"Long")</f>
        <v>Medium</v>
      </c>
      <c r="E392" s="24" t="s">
        <v>13</v>
      </c>
      <c r="F392" s="25">
        <v>45037</v>
      </c>
      <c r="G392" s="26">
        <v>200</v>
      </c>
      <c r="H392" s="26" t="str" cm="1">
        <f t="array" ref="H392">_xlfn.IFS(CallData[[#This Row],[Purchase Amount]]&lt;=50,"Low",CallData[[#This Row],[Purchase Amount]]&lt;=100,"Medium",CallData[[#This Row],[Purchase Amount]]&lt;=150,"High",CallData[[#This Row],[Purchase Amount]]&gt;150,"Very High")</f>
        <v>Very High</v>
      </c>
      <c r="I392" s="23">
        <v>2.2999999999999998</v>
      </c>
      <c r="J392" s="23">
        <f>IF(MONTH('Call Data'!$F392)&lt;=6, YEAR('Call Data'!$F392), YEAR('Call Data'!$F392)+1)</f>
        <v>2023</v>
      </c>
      <c r="K392" s="23" t="str">
        <f>TEXT('Call Data'!$F392,"DDDD")</f>
        <v>Friday</v>
      </c>
      <c r="L392" s="23" t="s">
        <v>27</v>
      </c>
      <c r="M392" s="23">
        <f>ROUND('Call Data'!$I392,0)</f>
        <v>2</v>
      </c>
    </row>
    <row r="393" spans="1:13" ht="14.25" customHeight="1" x14ac:dyDescent="0.35">
      <c r="A393" s="23" t="s">
        <v>427</v>
      </c>
      <c r="B393" s="23" t="s">
        <v>50</v>
      </c>
      <c r="C393" s="23">
        <v>61</v>
      </c>
      <c r="D393" s="24" t="str" cm="1">
        <f t="array" ref="D393">_xlfn.IFS(CallData[[#This Row],[Duration]]&lt;=15,"Very short",CallData[[#This Row],[Duration]]&lt;=30,"Short",CallData[[#This Row],[Duration]]&lt;=60,"Medium",CallData[[#This Row],[Duration]]&gt;60,"Long")</f>
        <v>Long</v>
      </c>
      <c r="E393" s="24" t="s">
        <v>35</v>
      </c>
      <c r="F393" s="25">
        <v>45037</v>
      </c>
      <c r="G393" s="26">
        <v>38</v>
      </c>
      <c r="H393" s="26" t="str" cm="1">
        <f t="array" ref="H393">_xlfn.IFS(CallData[[#This Row],[Purchase Amount]]&lt;=50,"Low",CallData[[#This Row],[Purchase Amount]]&lt;=100,"Medium",CallData[[#This Row],[Purchase Amount]]&lt;=150,"High",CallData[[#This Row],[Purchase Amount]]&gt;150,"Very High")</f>
        <v>Low</v>
      </c>
      <c r="I393" s="23">
        <v>4.8</v>
      </c>
      <c r="J393" s="23">
        <f>IF(MONTH('Call Data'!$F393)&lt;=6, YEAR('Call Data'!$F393), YEAR('Call Data'!$F393)+1)</f>
        <v>2023</v>
      </c>
      <c r="K393" s="23" t="str">
        <f>TEXT('Call Data'!$F393,"DDDD")</f>
        <v>Friday</v>
      </c>
      <c r="L393" s="23" t="s">
        <v>14</v>
      </c>
      <c r="M393" s="23">
        <f>ROUND('Call Data'!$I393,0)</f>
        <v>5</v>
      </c>
    </row>
    <row r="394" spans="1:13" ht="14.25" customHeight="1" x14ac:dyDescent="0.35">
      <c r="A394" s="23" t="s">
        <v>428</v>
      </c>
      <c r="B394" s="23" t="s">
        <v>55</v>
      </c>
      <c r="C394" s="23">
        <v>36</v>
      </c>
      <c r="D394" s="24" t="str" cm="1">
        <f t="array" ref="D394">_xlfn.IFS(CallData[[#This Row],[Duration]]&lt;=15,"Very short",CallData[[#This Row],[Duration]]&lt;=30,"Short",CallData[[#This Row],[Duration]]&lt;=60,"Medium",CallData[[#This Row],[Duration]]&gt;60,"Long")</f>
        <v>Medium</v>
      </c>
      <c r="E394" s="24" t="s">
        <v>31</v>
      </c>
      <c r="F394" s="25">
        <v>45037</v>
      </c>
      <c r="G394" s="26">
        <v>81</v>
      </c>
      <c r="H394" s="26" t="str" cm="1">
        <f t="array" ref="H394">_xlfn.IFS(CallData[[#This Row],[Purchase Amount]]&lt;=50,"Low",CallData[[#This Row],[Purchase Amount]]&lt;=100,"Medium",CallData[[#This Row],[Purchase Amount]]&lt;=150,"High",CallData[[#This Row],[Purchase Amount]]&gt;150,"Very High")</f>
        <v>Medium</v>
      </c>
      <c r="I394" s="23">
        <v>3.7</v>
      </c>
      <c r="J394" s="23">
        <f>IF(MONTH('Call Data'!$F394)&lt;=6, YEAR('Call Data'!$F394), YEAR('Call Data'!$F394)+1)</f>
        <v>2023</v>
      </c>
      <c r="K394" s="23" t="str">
        <f>TEXT('Call Data'!$F394,"DDDD")</f>
        <v>Friday</v>
      </c>
      <c r="L394" s="23" t="s">
        <v>27</v>
      </c>
      <c r="M394" s="23">
        <f>ROUND('Call Data'!$I394,0)</f>
        <v>4</v>
      </c>
    </row>
    <row r="395" spans="1:13" ht="14.25" customHeight="1" x14ac:dyDescent="0.35">
      <c r="A395" s="23" t="s">
        <v>429</v>
      </c>
      <c r="B395" s="23" t="s">
        <v>16</v>
      </c>
      <c r="C395" s="23">
        <v>123</v>
      </c>
      <c r="D395" s="24" t="str" cm="1">
        <f t="array" ref="D395">_xlfn.IFS(CallData[[#This Row],[Duration]]&lt;=15,"Very short",CallData[[#This Row],[Duration]]&lt;=30,"Short",CallData[[#This Row],[Duration]]&lt;=60,"Medium",CallData[[#This Row],[Duration]]&gt;60,"Long")</f>
        <v>Long</v>
      </c>
      <c r="E395" s="24" t="s">
        <v>24</v>
      </c>
      <c r="F395" s="25">
        <v>45037</v>
      </c>
      <c r="G395" s="26">
        <v>120</v>
      </c>
      <c r="H395" s="26" t="str" cm="1">
        <f t="array" ref="H395">_xlfn.IFS(CallData[[#This Row],[Purchase Amount]]&lt;=50,"Low",CallData[[#This Row],[Purchase Amount]]&lt;=100,"Medium",CallData[[#This Row],[Purchase Amount]]&lt;=150,"High",CallData[[#This Row],[Purchase Amount]]&gt;150,"Very High")</f>
        <v>High</v>
      </c>
      <c r="I395" s="23">
        <v>4.2</v>
      </c>
      <c r="J395" s="23">
        <f>IF(MONTH('Call Data'!$F395)&lt;=6, YEAR('Call Data'!$F395), YEAR('Call Data'!$F395)+1)</f>
        <v>2023</v>
      </c>
      <c r="K395" s="23" t="str">
        <f>TEXT('Call Data'!$F395,"DDDD")</f>
        <v>Friday</v>
      </c>
      <c r="L395" s="23" t="s">
        <v>25</v>
      </c>
      <c r="M395" s="23">
        <f>ROUND('Call Data'!$I395,0)</f>
        <v>4</v>
      </c>
    </row>
    <row r="396" spans="1:13" ht="14.25" customHeight="1" x14ac:dyDescent="0.35">
      <c r="A396" s="23" t="s">
        <v>430</v>
      </c>
      <c r="B396" s="23" t="s">
        <v>40</v>
      </c>
      <c r="C396" s="23">
        <v>24</v>
      </c>
      <c r="D396" s="24" t="str" cm="1">
        <f t="array" ref="D396">_xlfn.IFS(CallData[[#This Row],[Duration]]&lt;=15,"Very short",CallData[[#This Row],[Duration]]&lt;=30,"Short",CallData[[#This Row],[Duration]]&lt;=60,"Medium",CallData[[#This Row],[Duration]]&gt;60,"Long")</f>
        <v>Short</v>
      </c>
      <c r="E396" s="24" t="s">
        <v>35</v>
      </c>
      <c r="F396" s="25">
        <v>45037</v>
      </c>
      <c r="G396" s="26">
        <v>74</v>
      </c>
      <c r="H396" s="26" t="str" cm="1">
        <f t="array" ref="H396">_xlfn.IFS(CallData[[#This Row],[Purchase Amount]]&lt;=50,"Low",CallData[[#This Row],[Purchase Amount]]&lt;=100,"Medium",CallData[[#This Row],[Purchase Amount]]&lt;=150,"High",CallData[[#This Row],[Purchase Amount]]&gt;150,"Very High")</f>
        <v>Medium</v>
      </c>
      <c r="I396" s="23">
        <v>4.8</v>
      </c>
      <c r="J396" s="23">
        <f>IF(MONTH('Call Data'!$F396)&lt;=6, YEAR('Call Data'!$F396), YEAR('Call Data'!$F396)+1)</f>
        <v>2023</v>
      </c>
      <c r="K396" s="23" t="str">
        <f>TEXT('Call Data'!$F396,"DDDD")</f>
        <v>Friday</v>
      </c>
      <c r="L396" s="23" t="s">
        <v>47</v>
      </c>
      <c r="M396" s="23">
        <f>ROUND('Call Data'!$I396,0)</f>
        <v>5</v>
      </c>
    </row>
    <row r="397" spans="1:13" ht="14.25" customHeight="1" x14ac:dyDescent="0.35">
      <c r="A397" s="23" t="s">
        <v>431</v>
      </c>
      <c r="B397" s="23" t="s">
        <v>16</v>
      </c>
      <c r="C397" s="23">
        <v>43</v>
      </c>
      <c r="D397" s="24" t="str" cm="1">
        <f t="array" ref="D397">_xlfn.IFS(CallData[[#This Row],[Duration]]&lt;=15,"Very short",CallData[[#This Row],[Duration]]&lt;=30,"Short",CallData[[#This Row],[Duration]]&lt;=60,"Medium",CallData[[#This Row],[Duration]]&gt;60,"Long")</f>
        <v>Medium</v>
      </c>
      <c r="E397" s="24" t="s">
        <v>24</v>
      </c>
      <c r="F397" s="25">
        <v>45038</v>
      </c>
      <c r="G397" s="26">
        <v>128</v>
      </c>
      <c r="H397" s="26" t="str" cm="1">
        <f t="array" ref="H397">_xlfn.IFS(CallData[[#This Row],[Purchase Amount]]&lt;=50,"Low",CallData[[#This Row],[Purchase Amount]]&lt;=100,"Medium",CallData[[#This Row],[Purchase Amount]]&lt;=150,"High",CallData[[#This Row],[Purchase Amount]]&gt;150,"Very High")</f>
        <v>High</v>
      </c>
      <c r="I397" s="23">
        <v>4.7</v>
      </c>
      <c r="J397" s="23">
        <f>IF(MONTH('Call Data'!$F397)&lt;=6, YEAR('Call Data'!$F397), YEAR('Call Data'!$F397)+1)</f>
        <v>2023</v>
      </c>
      <c r="K397" s="23" t="str">
        <f>TEXT('Call Data'!$F397,"DDDD")</f>
        <v>Saturday</v>
      </c>
      <c r="L397" s="23" t="s">
        <v>27</v>
      </c>
      <c r="M397" s="23">
        <f>ROUND('Call Data'!$I397,0)</f>
        <v>5</v>
      </c>
    </row>
    <row r="398" spans="1:13" ht="14.25" customHeight="1" x14ac:dyDescent="0.35">
      <c r="A398" s="23" t="s">
        <v>432</v>
      </c>
      <c r="B398" s="23" t="s">
        <v>21</v>
      </c>
      <c r="C398" s="23">
        <v>95</v>
      </c>
      <c r="D398" s="24" t="str" cm="1">
        <f t="array" ref="D398">_xlfn.IFS(CallData[[#This Row],[Duration]]&lt;=15,"Very short",CallData[[#This Row],[Duration]]&lt;=30,"Short",CallData[[#This Row],[Duration]]&lt;=60,"Medium",CallData[[#This Row],[Duration]]&gt;60,"Long")</f>
        <v>Long</v>
      </c>
      <c r="E398" s="24" t="s">
        <v>19</v>
      </c>
      <c r="F398" s="25">
        <v>45038</v>
      </c>
      <c r="G398" s="26">
        <v>21</v>
      </c>
      <c r="H398" s="26" t="str" cm="1">
        <f t="array" ref="H398">_xlfn.IFS(CallData[[#This Row],[Purchase Amount]]&lt;=50,"Low",CallData[[#This Row],[Purchase Amount]]&lt;=100,"Medium",CallData[[#This Row],[Purchase Amount]]&lt;=150,"High",CallData[[#This Row],[Purchase Amount]]&gt;150,"Very High")</f>
        <v>Low</v>
      </c>
      <c r="I398" s="23">
        <v>3.9</v>
      </c>
      <c r="J398" s="23">
        <f>IF(MONTH('Call Data'!$F398)&lt;=6, YEAR('Call Data'!$F398), YEAR('Call Data'!$F398)+1)</f>
        <v>2023</v>
      </c>
      <c r="K398" s="23" t="str">
        <f>TEXT('Call Data'!$F398,"DDDD")</f>
        <v>Saturday</v>
      </c>
      <c r="L398" s="23" t="s">
        <v>14</v>
      </c>
      <c r="M398" s="23">
        <f>ROUND('Call Data'!$I398,0)</f>
        <v>4</v>
      </c>
    </row>
    <row r="399" spans="1:13" ht="14.25" customHeight="1" x14ac:dyDescent="0.35">
      <c r="A399" s="23" t="s">
        <v>433</v>
      </c>
      <c r="B399" s="23" t="s">
        <v>88</v>
      </c>
      <c r="C399" s="23">
        <v>53</v>
      </c>
      <c r="D399" s="24" t="str" cm="1">
        <f t="array" ref="D399">_xlfn.IFS(CallData[[#This Row],[Duration]]&lt;=15,"Very short",CallData[[#This Row],[Duration]]&lt;=30,"Short",CallData[[#This Row],[Duration]]&lt;=60,"Medium",CallData[[#This Row],[Duration]]&gt;60,"Long")</f>
        <v>Medium</v>
      </c>
      <c r="E399" s="24" t="s">
        <v>24</v>
      </c>
      <c r="F399" s="25">
        <v>45038</v>
      </c>
      <c r="G399" s="26">
        <v>110</v>
      </c>
      <c r="H399" s="26" t="str" cm="1">
        <f t="array" ref="H399">_xlfn.IFS(CallData[[#This Row],[Purchase Amount]]&lt;=50,"Low",CallData[[#This Row],[Purchase Amount]]&lt;=100,"Medium",CallData[[#This Row],[Purchase Amount]]&lt;=150,"High",CallData[[#This Row],[Purchase Amount]]&gt;150,"Very High")</f>
        <v>High</v>
      </c>
      <c r="I399" s="23">
        <v>4.3</v>
      </c>
      <c r="J399" s="23">
        <f>IF(MONTH('Call Data'!$F399)&lt;=6, YEAR('Call Data'!$F399), YEAR('Call Data'!$F399)+1)</f>
        <v>2023</v>
      </c>
      <c r="K399" s="23" t="str">
        <f>TEXT('Call Data'!$F399,"DDDD")</f>
        <v>Saturday</v>
      </c>
      <c r="L399" s="23" t="s">
        <v>27</v>
      </c>
      <c r="M399" s="23">
        <f>ROUND('Call Data'!$I399,0)</f>
        <v>4</v>
      </c>
    </row>
    <row r="400" spans="1:13" ht="14.25" customHeight="1" x14ac:dyDescent="0.35">
      <c r="A400" s="23" t="s">
        <v>434</v>
      </c>
      <c r="B400" s="23" t="s">
        <v>16</v>
      </c>
      <c r="C400" s="23">
        <v>113</v>
      </c>
      <c r="D400" s="24" t="str" cm="1">
        <f t="array" ref="D400">_xlfn.IFS(CallData[[#This Row],[Duration]]&lt;=15,"Very short",CallData[[#This Row],[Duration]]&lt;=30,"Short",CallData[[#This Row],[Duration]]&lt;=60,"Medium",CallData[[#This Row],[Duration]]&gt;60,"Long")</f>
        <v>Long</v>
      </c>
      <c r="E400" s="24" t="s">
        <v>24</v>
      </c>
      <c r="F400" s="25">
        <v>45038</v>
      </c>
      <c r="G400" s="26">
        <v>145</v>
      </c>
      <c r="H400" s="26" t="str" cm="1">
        <f t="array" ref="H400">_xlfn.IFS(CallData[[#This Row],[Purchase Amount]]&lt;=50,"Low",CallData[[#This Row],[Purchase Amount]]&lt;=100,"Medium",CallData[[#This Row],[Purchase Amount]]&lt;=150,"High",CallData[[#This Row],[Purchase Amount]]&gt;150,"Very High")</f>
        <v>High</v>
      </c>
      <c r="I400" s="23">
        <v>4</v>
      </c>
      <c r="J400" s="23">
        <f>IF(MONTH('Call Data'!$F400)&lt;=6, YEAR('Call Data'!$F400), YEAR('Call Data'!$F400)+1)</f>
        <v>2023</v>
      </c>
      <c r="K400" s="23" t="str">
        <f>TEXT('Call Data'!$F400,"DDDD")</f>
        <v>Saturday</v>
      </c>
      <c r="L400" s="23" t="s">
        <v>14</v>
      </c>
      <c r="M400" s="23">
        <f>ROUND('Call Data'!$I400,0)</f>
        <v>4</v>
      </c>
    </row>
    <row r="401" spans="1:13" ht="14.25" customHeight="1" x14ac:dyDescent="0.35">
      <c r="A401" s="23" t="s">
        <v>435</v>
      </c>
      <c r="B401" s="23" t="s">
        <v>88</v>
      </c>
      <c r="C401" s="23">
        <v>89</v>
      </c>
      <c r="D401" s="24" t="str" cm="1">
        <f t="array" ref="D401">_xlfn.IFS(CallData[[#This Row],[Duration]]&lt;=15,"Very short",CallData[[#This Row],[Duration]]&lt;=30,"Short",CallData[[#This Row],[Duration]]&lt;=60,"Medium",CallData[[#This Row],[Duration]]&gt;60,"Long")</f>
        <v>Long</v>
      </c>
      <c r="E401" s="24" t="s">
        <v>31</v>
      </c>
      <c r="F401" s="25">
        <v>45038</v>
      </c>
      <c r="G401" s="26">
        <v>129</v>
      </c>
      <c r="H401" s="26" t="str" cm="1">
        <f t="array" ref="H401">_xlfn.IFS(CallData[[#This Row],[Purchase Amount]]&lt;=50,"Low",CallData[[#This Row],[Purchase Amount]]&lt;=100,"Medium",CallData[[#This Row],[Purchase Amount]]&lt;=150,"High",CallData[[#This Row],[Purchase Amount]]&gt;150,"Very High")</f>
        <v>High</v>
      </c>
      <c r="I401" s="23">
        <v>4</v>
      </c>
      <c r="J401" s="23">
        <f>IF(MONTH('Call Data'!$F401)&lt;=6, YEAR('Call Data'!$F401), YEAR('Call Data'!$F401)+1)</f>
        <v>2023</v>
      </c>
      <c r="K401" s="23" t="str">
        <f>TEXT('Call Data'!$F401,"DDDD")</f>
        <v>Saturday</v>
      </c>
      <c r="L401" s="23" t="s">
        <v>14</v>
      </c>
      <c r="M401" s="23">
        <f>ROUND('Call Data'!$I401,0)</f>
        <v>4</v>
      </c>
    </row>
    <row r="402" spans="1:13" ht="14.25" customHeight="1" x14ac:dyDescent="0.35">
      <c r="A402" s="23" t="s">
        <v>436</v>
      </c>
      <c r="B402" s="23" t="s">
        <v>34</v>
      </c>
      <c r="C402" s="23">
        <v>84</v>
      </c>
      <c r="D402" s="24" t="str" cm="1">
        <f t="array" ref="D402">_xlfn.IFS(CallData[[#This Row],[Duration]]&lt;=15,"Very short",CallData[[#This Row],[Duration]]&lt;=30,"Short",CallData[[#This Row],[Duration]]&lt;=60,"Medium",CallData[[#This Row],[Duration]]&gt;60,"Long")</f>
        <v>Long</v>
      </c>
      <c r="E402" s="24" t="s">
        <v>13</v>
      </c>
      <c r="F402" s="25">
        <v>45038</v>
      </c>
      <c r="G402" s="26">
        <v>156</v>
      </c>
      <c r="H402" s="26" t="str" cm="1">
        <f t="array" ref="H402">_xlfn.IFS(CallData[[#This Row],[Purchase Amount]]&lt;=50,"Low",CallData[[#This Row],[Purchase Amount]]&lt;=100,"Medium",CallData[[#This Row],[Purchase Amount]]&lt;=150,"High",CallData[[#This Row],[Purchase Amount]]&gt;150,"Very High")</f>
        <v>Very High</v>
      </c>
      <c r="I402" s="23">
        <v>3.2</v>
      </c>
      <c r="J402" s="23">
        <f>IF(MONTH('Call Data'!$F402)&lt;=6, YEAR('Call Data'!$F402), YEAR('Call Data'!$F402)+1)</f>
        <v>2023</v>
      </c>
      <c r="K402" s="23" t="str">
        <f>TEXT('Call Data'!$F402,"DDDD")</f>
        <v>Saturday</v>
      </c>
      <c r="L402" s="23" t="s">
        <v>14</v>
      </c>
      <c r="M402" s="23">
        <f>ROUND('Call Data'!$I402,0)</f>
        <v>3</v>
      </c>
    </row>
    <row r="403" spans="1:13" ht="14.25" customHeight="1" x14ac:dyDescent="0.35">
      <c r="A403" s="23" t="s">
        <v>437</v>
      </c>
      <c r="B403" s="23" t="s">
        <v>40</v>
      </c>
      <c r="C403" s="23">
        <v>130</v>
      </c>
      <c r="D403" s="24" t="str" cm="1">
        <f t="array" ref="D403">_xlfn.IFS(CallData[[#This Row],[Duration]]&lt;=15,"Very short",CallData[[#This Row],[Duration]]&lt;=30,"Short",CallData[[#This Row],[Duration]]&lt;=60,"Medium",CallData[[#This Row],[Duration]]&gt;60,"Long")</f>
        <v>Long</v>
      </c>
      <c r="E403" s="24" t="s">
        <v>24</v>
      </c>
      <c r="F403" s="25">
        <v>45039</v>
      </c>
      <c r="G403" s="26">
        <v>120</v>
      </c>
      <c r="H403" s="26" t="str" cm="1">
        <f t="array" ref="H403">_xlfn.IFS(CallData[[#This Row],[Purchase Amount]]&lt;=50,"Low",CallData[[#This Row],[Purchase Amount]]&lt;=100,"Medium",CallData[[#This Row],[Purchase Amount]]&lt;=150,"High",CallData[[#This Row],[Purchase Amount]]&gt;150,"Very High")</f>
        <v>High</v>
      </c>
      <c r="I403" s="23">
        <v>3.8</v>
      </c>
      <c r="J403" s="23">
        <f>IF(MONTH('Call Data'!$F403)&lt;=6, YEAR('Call Data'!$F403), YEAR('Call Data'!$F403)+1)</f>
        <v>2023</v>
      </c>
      <c r="K403" s="23" t="str">
        <f>TEXT('Call Data'!$F403,"DDDD")</f>
        <v>Sunday</v>
      </c>
      <c r="L403" s="23" t="s">
        <v>25</v>
      </c>
      <c r="M403" s="23">
        <f>ROUND('Call Data'!$I403,0)</f>
        <v>4</v>
      </c>
    </row>
    <row r="404" spans="1:13" ht="14.25" customHeight="1" x14ac:dyDescent="0.35">
      <c r="A404" s="23" t="s">
        <v>438</v>
      </c>
      <c r="B404" s="23" t="s">
        <v>21</v>
      </c>
      <c r="C404" s="23">
        <v>163</v>
      </c>
      <c r="D404" s="24" t="str" cm="1">
        <f t="array" ref="D404">_xlfn.IFS(CallData[[#This Row],[Duration]]&lt;=15,"Very short",CallData[[#This Row],[Duration]]&lt;=30,"Short",CallData[[#This Row],[Duration]]&lt;=60,"Medium",CallData[[#This Row],[Duration]]&gt;60,"Long")</f>
        <v>Long</v>
      </c>
      <c r="E404" s="24" t="s">
        <v>31</v>
      </c>
      <c r="F404" s="25">
        <v>45039</v>
      </c>
      <c r="G404" s="26">
        <v>62</v>
      </c>
      <c r="H404" s="26" t="str" cm="1">
        <f t="array" ref="H404">_xlfn.IFS(CallData[[#This Row],[Purchase Amount]]&lt;=50,"Low",CallData[[#This Row],[Purchase Amount]]&lt;=100,"Medium",CallData[[#This Row],[Purchase Amount]]&lt;=150,"High",CallData[[#This Row],[Purchase Amount]]&gt;150,"Very High")</f>
        <v>Medium</v>
      </c>
      <c r="I404" s="23">
        <v>3.4</v>
      </c>
      <c r="J404" s="23">
        <f>IF(MONTH('Call Data'!$F404)&lt;=6, YEAR('Call Data'!$F404), YEAR('Call Data'!$F404)+1)</f>
        <v>2023</v>
      </c>
      <c r="K404" s="23" t="str">
        <f>TEXT('Call Data'!$F404,"DDDD")</f>
        <v>Sunday</v>
      </c>
      <c r="L404" s="23" t="s">
        <v>25</v>
      </c>
      <c r="M404" s="23">
        <f>ROUND('Call Data'!$I404,0)</f>
        <v>3</v>
      </c>
    </row>
    <row r="405" spans="1:13" ht="14.25" customHeight="1" x14ac:dyDescent="0.35">
      <c r="A405" s="23" t="s">
        <v>439</v>
      </c>
      <c r="B405" s="23" t="s">
        <v>46</v>
      </c>
      <c r="C405" s="23">
        <v>127</v>
      </c>
      <c r="D405" s="24" t="str" cm="1">
        <f t="array" ref="D405">_xlfn.IFS(CallData[[#This Row],[Duration]]&lt;=15,"Very short",CallData[[#This Row],[Duration]]&lt;=30,"Short",CallData[[#This Row],[Duration]]&lt;=60,"Medium",CallData[[#This Row],[Duration]]&gt;60,"Long")</f>
        <v>Long</v>
      </c>
      <c r="E405" s="24" t="s">
        <v>24</v>
      </c>
      <c r="F405" s="25">
        <v>45039</v>
      </c>
      <c r="G405" s="26">
        <v>160</v>
      </c>
      <c r="H405" s="26" t="str" cm="1">
        <f t="array" ref="H405">_xlfn.IFS(CallData[[#This Row],[Purchase Amount]]&lt;=50,"Low",CallData[[#This Row],[Purchase Amount]]&lt;=100,"Medium",CallData[[#This Row],[Purchase Amount]]&lt;=150,"High",CallData[[#This Row],[Purchase Amount]]&gt;150,"Very High")</f>
        <v>Very High</v>
      </c>
      <c r="I405" s="23">
        <v>3.2</v>
      </c>
      <c r="J405" s="23">
        <f>IF(MONTH('Call Data'!$F405)&lt;=6, YEAR('Call Data'!$F405), YEAR('Call Data'!$F405)+1)</f>
        <v>2023</v>
      </c>
      <c r="K405" s="23" t="str">
        <f>TEXT('Call Data'!$F405,"DDDD")</f>
        <v>Sunday</v>
      </c>
      <c r="L405" s="23" t="s">
        <v>25</v>
      </c>
      <c r="M405" s="23">
        <f>ROUND('Call Data'!$I405,0)</f>
        <v>3</v>
      </c>
    </row>
    <row r="406" spans="1:13" ht="14.25" customHeight="1" x14ac:dyDescent="0.35">
      <c r="A406" s="23" t="s">
        <v>440</v>
      </c>
      <c r="B406" s="23" t="s">
        <v>16</v>
      </c>
      <c r="C406" s="23">
        <v>50</v>
      </c>
      <c r="D406" s="24" t="str" cm="1">
        <f t="array" ref="D406">_xlfn.IFS(CallData[[#This Row],[Duration]]&lt;=15,"Very short",CallData[[#This Row],[Duration]]&lt;=30,"Short",CallData[[#This Row],[Duration]]&lt;=60,"Medium",CallData[[#This Row],[Duration]]&gt;60,"Long")</f>
        <v>Medium</v>
      </c>
      <c r="E406" s="24" t="s">
        <v>24</v>
      </c>
      <c r="F406" s="25">
        <v>45039</v>
      </c>
      <c r="G406" s="26">
        <v>56</v>
      </c>
      <c r="H406" s="26" t="str" cm="1">
        <f t="array" ref="H406">_xlfn.IFS(CallData[[#This Row],[Purchase Amount]]&lt;=50,"Low",CallData[[#This Row],[Purchase Amount]]&lt;=100,"Medium",CallData[[#This Row],[Purchase Amount]]&lt;=150,"High",CallData[[#This Row],[Purchase Amount]]&gt;150,"Very High")</f>
        <v>Medium</v>
      </c>
      <c r="I406" s="23">
        <v>4.7</v>
      </c>
      <c r="J406" s="23">
        <f>IF(MONTH('Call Data'!$F406)&lt;=6, YEAR('Call Data'!$F406), YEAR('Call Data'!$F406)+1)</f>
        <v>2023</v>
      </c>
      <c r="K406" s="23" t="str">
        <f>TEXT('Call Data'!$F406,"DDDD")</f>
        <v>Sunday</v>
      </c>
      <c r="L406" s="23" t="s">
        <v>27</v>
      </c>
      <c r="M406" s="23">
        <f>ROUND('Call Data'!$I406,0)</f>
        <v>5</v>
      </c>
    </row>
    <row r="407" spans="1:13" ht="14.25" customHeight="1" x14ac:dyDescent="0.35">
      <c r="A407" s="23" t="s">
        <v>441</v>
      </c>
      <c r="B407" s="23" t="s">
        <v>29</v>
      </c>
      <c r="C407" s="23">
        <v>88</v>
      </c>
      <c r="D407" s="24" t="str" cm="1">
        <f t="array" ref="D407">_xlfn.IFS(CallData[[#This Row],[Duration]]&lt;=15,"Very short",CallData[[#This Row],[Duration]]&lt;=30,"Short",CallData[[#This Row],[Duration]]&lt;=60,"Medium",CallData[[#This Row],[Duration]]&gt;60,"Long")</f>
        <v>Long</v>
      </c>
      <c r="E407" s="24" t="s">
        <v>35</v>
      </c>
      <c r="F407" s="25">
        <v>45039</v>
      </c>
      <c r="G407" s="26">
        <v>72</v>
      </c>
      <c r="H407" s="26" t="str" cm="1">
        <f t="array" ref="H407">_xlfn.IFS(CallData[[#This Row],[Purchase Amount]]&lt;=50,"Low",CallData[[#This Row],[Purchase Amount]]&lt;=100,"Medium",CallData[[#This Row],[Purchase Amount]]&lt;=150,"High",CallData[[#This Row],[Purchase Amount]]&gt;150,"Very High")</f>
        <v>Medium</v>
      </c>
      <c r="I407" s="23">
        <v>4</v>
      </c>
      <c r="J407" s="23">
        <f>IF(MONTH('Call Data'!$F407)&lt;=6, YEAR('Call Data'!$F407), YEAR('Call Data'!$F407)+1)</f>
        <v>2023</v>
      </c>
      <c r="K407" s="23" t="str">
        <f>TEXT('Call Data'!$F407,"DDDD")</f>
        <v>Sunday</v>
      </c>
      <c r="L407" s="23" t="s">
        <v>14</v>
      </c>
      <c r="M407" s="23">
        <f>ROUND('Call Data'!$I407,0)</f>
        <v>4</v>
      </c>
    </row>
    <row r="408" spans="1:13" ht="14.25" customHeight="1" x14ac:dyDescent="0.35">
      <c r="A408" s="23" t="s">
        <v>442</v>
      </c>
      <c r="B408" s="23" t="s">
        <v>16</v>
      </c>
      <c r="C408" s="23">
        <v>139</v>
      </c>
      <c r="D408" s="24" t="str" cm="1">
        <f t="array" ref="D408">_xlfn.IFS(CallData[[#This Row],[Duration]]&lt;=15,"Very short",CallData[[#This Row],[Duration]]&lt;=30,"Short",CallData[[#This Row],[Duration]]&lt;=60,"Medium",CallData[[#This Row],[Duration]]&gt;60,"Long")</f>
        <v>Long</v>
      </c>
      <c r="E408" s="24" t="s">
        <v>19</v>
      </c>
      <c r="F408" s="25">
        <v>45040</v>
      </c>
      <c r="G408" s="26">
        <v>81</v>
      </c>
      <c r="H408" s="26" t="str" cm="1">
        <f t="array" ref="H408">_xlfn.IFS(CallData[[#This Row],[Purchase Amount]]&lt;=50,"Low",CallData[[#This Row],[Purchase Amount]]&lt;=100,"Medium",CallData[[#This Row],[Purchase Amount]]&lt;=150,"High",CallData[[#This Row],[Purchase Amount]]&gt;150,"Very High")</f>
        <v>Medium</v>
      </c>
      <c r="I408" s="23">
        <v>4.8</v>
      </c>
      <c r="J408" s="23">
        <f>IF(MONTH('Call Data'!$F408)&lt;=6, YEAR('Call Data'!$F408), YEAR('Call Data'!$F408)+1)</f>
        <v>2023</v>
      </c>
      <c r="K408" s="23" t="str">
        <f>TEXT('Call Data'!$F408,"DDDD")</f>
        <v>Monday</v>
      </c>
      <c r="L408" s="23" t="s">
        <v>25</v>
      </c>
      <c r="M408" s="23">
        <f>ROUND('Call Data'!$I408,0)</f>
        <v>5</v>
      </c>
    </row>
    <row r="409" spans="1:13" ht="14.25" customHeight="1" x14ac:dyDescent="0.35">
      <c r="A409" s="23" t="s">
        <v>443</v>
      </c>
      <c r="B409" s="23" t="s">
        <v>21</v>
      </c>
      <c r="C409" s="23">
        <v>111</v>
      </c>
      <c r="D409" s="24" t="str" cm="1">
        <f t="array" ref="D409">_xlfn.IFS(CallData[[#This Row],[Duration]]&lt;=15,"Very short",CallData[[#This Row],[Duration]]&lt;=30,"Short",CallData[[#This Row],[Duration]]&lt;=60,"Medium",CallData[[#This Row],[Duration]]&gt;60,"Long")</f>
        <v>Long</v>
      </c>
      <c r="E409" s="24" t="s">
        <v>24</v>
      </c>
      <c r="F409" s="25">
        <v>45040</v>
      </c>
      <c r="G409" s="26">
        <v>144</v>
      </c>
      <c r="H409" s="26" t="str" cm="1">
        <f t="array" ref="H409">_xlfn.IFS(CallData[[#This Row],[Purchase Amount]]&lt;=50,"Low",CallData[[#This Row],[Purchase Amount]]&lt;=100,"Medium",CallData[[#This Row],[Purchase Amount]]&lt;=150,"High",CallData[[#This Row],[Purchase Amount]]&gt;150,"Very High")</f>
        <v>High</v>
      </c>
      <c r="I409" s="23">
        <v>3.9</v>
      </c>
      <c r="J409" s="23">
        <f>IF(MONTH('Call Data'!$F409)&lt;=6, YEAR('Call Data'!$F409), YEAR('Call Data'!$F409)+1)</f>
        <v>2023</v>
      </c>
      <c r="K409" s="23" t="str">
        <f>TEXT('Call Data'!$F409,"DDDD")</f>
        <v>Monday</v>
      </c>
      <c r="L409" s="23" t="s">
        <v>14</v>
      </c>
      <c r="M409" s="23">
        <f>ROUND('Call Data'!$I409,0)</f>
        <v>4</v>
      </c>
    </row>
    <row r="410" spans="1:13" ht="14.25" customHeight="1" x14ac:dyDescent="0.35">
      <c r="A410" s="23" t="s">
        <v>444</v>
      </c>
      <c r="B410" s="23" t="s">
        <v>18</v>
      </c>
      <c r="C410" s="23">
        <v>115</v>
      </c>
      <c r="D410" s="24" t="str" cm="1">
        <f t="array" ref="D410">_xlfn.IFS(CallData[[#This Row],[Duration]]&lt;=15,"Very short",CallData[[#This Row],[Duration]]&lt;=30,"Short",CallData[[#This Row],[Duration]]&lt;=60,"Medium",CallData[[#This Row],[Duration]]&gt;60,"Long")</f>
        <v>Long</v>
      </c>
      <c r="E410" s="24" t="s">
        <v>19</v>
      </c>
      <c r="F410" s="25">
        <v>45040</v>
      </c>
      <c r="G410" s="26">
        <v>111</v>
      </c>
      <c r="H410" s="26" t="str" cm="1">
        <f t="array" ref="H410">_xlfn.IFS(CallData[[#This Row],[Purchase Amount]]&lt;=50,"Low",CallData[[#This Row],[Purchase Amount]]&lt;=100,"Medium",CallData[[#This Row],[Purchase Amount]]&lt;=150,"High",CallData[[#This Row],[Purchase Amount]]&gt;150,"Very High")</f>
        <v>High</v>
      </c>
      <c r="I410" s="23">
        <v>4.3</v>
      </c>
      <c r="J410" s="23">
        <f>IF(MONTH('Call Data'!$F410)&lt;=6, YEAR('Call Data'!$F410), YEAR('Call Data'!$F410)+1)</f>
        <v>2023</v>
      </c>
      <c r="K410" s="23" t="str">
        <f>TEXT('Call Data'!$F410,"DDDD")</f>
        <v>Monday</v>
      </c>
      <c r="L410" s="23" t="s">
        <v>14</v>
      </c>
      <c r="M410" s="23">
        <f>ROUND('Call Data'!$I410,0)</f>
        <v>4</v>
      </c>
    </row>
    <row r="411" spans="1:13" ht="14.25" customHeight="1" x14ac:dyDescent="0.35">
      <c r="A411" s="23" t="s">
        <v>445</v>
      </c>
      <c r="B411" s="23" t="s">
        <v>88</v>
      </c>
      <c r="C411" s="23">
        <v>26</v>
      </c>
      <c r="D411" s="24" t="str" cm="1">
        <f t="array" ref="D411">_xlfn.IFS(CallData[[#This Row],[Duration]]&lt;=15,"Very short",CallData[[#This Row],[Duration]]&lt;=30,"Short",CallData[[#This Row],[Duration]]&lt;=60,"Medium",CallData[[#This Row],[Duration]]&gt;60,"Long")</f>
        <v>Short</v>
      </c>
      <c r="E411" s="24" t="s">
        <v>31</v>
      </c>
      <c r="F411" s="25">
        <v>45040</v>
      </c>
      <c r="G411" s="26">
        <v>43</v>
      </c>
      <c r="H411" s="26" t="str" cm="1">
        <f t="array" ref="H411">_xlfn.IFS(CallData[[#This Row],[Purchase Amount]]&lt;=50,"Low",CallData[[#This Row],[Purchase Amount]]&lt;=100,"Medium",CallData[[#This Row],[Purchase Amount]]&lt;=150,"High",CallData[[#This Row],[Purchase Amount]]&gt;150,"Very High")</f>
        <v>Low</v>
      </c>
      <c r="I411" s="23">
        <v>4.2</v>
      </c>
      <c r="J411" s="23">
        <f>IF(MONTH('Call Data'!$F411)&lt;=6, YEAR('Call Data'!$F411), YEAR('Call Data'!$F411)+1)</f>
        <v>2023</v>
      </c>
      <c r="K411" s="23" t="str">
        <f>TEXT('Call Data'!$F411,"DDDD")</f>
        <v>Monday</v>
      </c>
      <c r="L411" s="23" t="s">
        <v>47</v>
      </c>
      <c r="M411" s="23">
        <f>ROUND('Call Data'!$I411,0)</f>
        <v>4</v>
      </c>
    </row>
    <row r="412" spans="1:13" ht="14.25" customHeight="1" x14ac:dyDescent="0.35">
      <c r="A412" s="23" t="s">
        <v>446</v>
      </c>
      <c r="B412" s="23" t="s">
        <v>34</v>
      </c>
      <c r="C412" s="23">
        <v>131</v>
      </c>
      <c r="D412" s="24" t="str" cm="1">
        <f t="array" ref="D412">_xlfn.IFS(CallData[[#This Row],[Duration]]&lt;=15,"Very short",CallData[[#This Row],[Duration]]&lt;=30,"Short",CallData[[#This Row],[Duration]]&lt;=60,"Medium",CallData[[#This Row],[Duration]]&gt;60,"Long")</f>
        <v>Long</v>
      </c>
      <c r="E412" s="24" t="s">
        <v>35</v>
      </c>
      <c r="F412" s="25">
        <v>45040</v>
      </c>
      <c r="G412" s="26">
        <v>41</v>
      </c>
      <c r="H412" s="26" t="str" cm="1">
        <f t="array" ref="H412">_xlfn.IFS(CallData[[#This Row],[Purchase Amount]]&lt;=50,"Low",CallData[[#This Row],[Purchase Amount]]&lt;=100,"Medium",CallData[[#This Row],[Purchase Amount]]&lt;=150,"High",CallData[[#This Row],[Purchase Amount]]&gt;150,"Very High")</f>
        <v>Low</v>
      </c>
      <c r="I412" s="23">
        <v>4.9000000000000004</v>
      </c>
      <c r="J412" s="23">
        <f>IF(MONTH('Call Data'!$F412)&lt;=6, YEAR('Call Data'!$F412), YEAR('Call Data'!$F412)+1)</f>
        <v>2023</v>
      </c>
      <c r="K412" s="23" t="str">
        <f>TEXT('Call Data'!$F412,"DDDD")</f>
        <v>Monday</v>
      </c>
      <c r="L412" s="23" t="s">
        <v>25</v>
      </c>
      <c r="M412" s="23">
        <f>ROUND('Call Data'!$I412,0)</f>
        <v>5</v>
      </c>
    </row>
    <row r="413" spans="1:13" ht="14.25" customHeight="1" x14ac:dyDescent="0.35">
      <c r="A413" s="23" t="s">
        <v>447</v>
      </c>
      <c r="B413" s="23" t="s">
        <v>18</v>
      </c>
      <c r="C413" s="23">
        <v>27</v>
      </c>
      <c r="D413" s="24" t="str" cm="1">
        <f t="array" ref="D413">_xlfn.IFS(CallData[[#This Row],[Duration]]&lt;=15,"Very short",CallData[[#This Row],[Duration]]&lt;=30,"Short",CallData[[#This Row],[Duration]]&lt;=60,"Medium",CallData[[#This Row],[Duration]]&gt;60,"Long")</f>
        <v>Short</v>
      </c>
      <c r="E413" s="24" t="s">
        <v>35</v>
      </c>
      <c r="F413" s="25">
        <v>45040</v>
      </c>
      <c r="G413" s="26">
        <v>74</v>
      </c>
      <c r="H413" s="26" t="str" cm="1">
        <f t="array" ref="H413">_xlfn.IFS(CallData[[#This Row],[Purchase Amount]]&lt;=50,"Low",CallData[[#This Row],[Purchase Amount]]&lt;=100,"Medium",CallData[[#This Row],[Purchase Amount]]&lt;=150,"High",CallData[[#This Row],[Purchase Amount]]&gt;150,"Very High")</f>
        <v>Medium</v>
      </c>
      <c r="I413" s="23">
        <v>4</v>
      </c>
      <c r="J413" s="23">
        <f>IF(MONTH('Call Data'!$F413)&lt;=6, YEAR('Call Data'!$F413), YEAR('Call Data'!$F413)+1)</f>
        <v>2023</v>
      </c>
      <c r="K413" s="23" t="str">
        <f>TEXT('Call Data'!$F413,"DDDD")</f>
        <v>Monday</v>
      </c>
      <c r="L413" s="23" t="s">
        <v>47</v>
      </c>
      <c r="M413" s="23">
        <f>ROUND('Call Data'!$I413,0)</f>
        <v>4</v>
      </c>
    </row>
    <row r="414" spans="1:13" ht="14.25" customHeight="1" x14ac:dyDescent="0.35">
      <c r="A414" s="23" t="s">
        <v>448</v>
      </c>
      <c r="B414" s="23" t="s">
        <v>58</v>
      </c>
      <c r="C414" s="23">
        <v>75</v>
      </c>
      <c r="D414" s="24" t="str" cm="1">
        <f t="array" ref="D414">_xlfn.IFS(CallData[[#This Row],[Duration]]&lt;=15,"Very short",CallData[[#This Row],[Duration]]&lt;=30,"Short",CallData[[#This Row],[Duration]]&lt;=60,"Medium",CallData[[#This Row],[Duration]]&gt;60,"Long")</f>
        <v>Long</v>
      </c>
      <c r="E414" s="24" t="s">
        <v>24</v>
      </c>
      <c r="F414" s="25">
        <v>45040</v>
      </c>
      <c r="G414" s="26">
        <v>43</v>
      </c>
      <c r="H414" s="26" t="str" cm="1">
        <f t="array" ref="H414">_xlfn.IFS(CallData[[#This Row],[Purchase Amount]]&lt;=50,"Low",CallData[[#This Row],[Purchase Amount]]&lt;=100,"Medium",CallData[[#This Row],[Purchase Amount]]&lt;=150,"High",CallData[[#This Row],[Purchase Amount]]&gt;150,"Very High")</f>
        <v>Low</v>
      </c>
      <c r="I414" s="23">
        <v>4.9000000000000004</v>
      </c>
      <c r="J414" s="23">
        <f>IF(MONTH('Call Data'!$F414)&lt;=6, YEAR('Call Data'!$F414), YEAR('Call Data'!$F414)+1)</f>
        <v>2023</v>
      </c>
      <c r="K414" s="23" t="str">
        <f>TEXT('Call Data'!$F414,"DDDD")</f>
        <v>Monday</v>
      </c>
      <c r="L414" s="23" t="s">
        <v>14</v>
      </c>
      <c r="M414" s="23">
        <f>ROUND('Call Data'!$I414,0)</f>
        <v>5</v>
      </c>
    </row>
    <row r="415" spans="1:13" ht="14.25" customHeight="1" x14ac:dyDescent="0.35">
      <c r="A415" s="23" t="s">
        <v>449</v>
      </c>
      <c r="B415" s="23" t="s">
        <v>50</v>
      </c>
      <c r="C415" s="23">
        <v>123</v>
      </c>
      <c r="D415" s="24" t="str" cm="1">
        <f t="array" ref="D415">_xlfn.IFS(CallData[[#This Row],[Duration]]&lt;=15,"Very short",CallData[[#This Row],[Duration]]&lt;=30,"Short",CallData[[#This Row],[Duration]]&lt;=60,"Medium",CallData[[#This Row],[Duration]]&gt;60,"Long")</f>
        <v>Long</v>
      </c>
      <c r="E415" s="24" t="s">
        <v>35</v>
      </c>
      <c r="F415" s="25">
        <v>45040</v>
      </c>
      <c r="G415" s="26">
        <v>128</v>
      </c>
      <c r="H415" s="26" t="str" cm="1">
        <f t="array" ref="H415">_xlfn.IFS(CallData[[#This Row],[Purchase Amount]]&lt;=50,"Low",CallData[[#This Row],[Purchase Amount]]&lt;=100,"Medium",CallData[[#This Row],[Purchase Amount]]&lt;=150,"High",CallData[[#This Row],[Purchase Amount]]&gt;150,"Very High")</f>
        <v>High</v>
      </c>
      <c r="I415" s="23">
        <v>3.6</v>
      </c>
      <c r="J415" s="23">
        <f>IF(MONTH('Call Data'!$F415)&lt;=6, YEAR('Call Data'!$F415), YEAR('Call Data'!$F415)+1)</f>
        <v>2023</v>
      </c>
      <c r="K415" s="23" t="str">
        <f>TEXT('Call Data'!$F415,"DDDD")</f>
        <v>Monday</v>
      </c>
      <c r="L415" s="23" t="s">
        <v>25</v>
      </c>
      <c r="M415" s="23">
        <f>ROUND('Call Data'!$I415,0)</f>
        <v>4</v>
      </c>
    </row>
    <row r="416" spans="1:13" ht="14.25" customHeight="1" x14ac:dyDescent="0.35">
      <c r="A416" s="23" t="s">
        <v>450</v>
      </c>
      <c r="B416" s="23" t="s">
        <v>12</v>
      </c>
      <c r="C416" s="23">
        <v>129</v>
      </c>
      <c r="D416" s="24" t="str" cm="1">
        <f t="array" ref="D416">_xlfn.IFS(CallData[[#This Row],[Duration]]&lt;=15,"Very short",CallData[[#This Row],[Duration]]&lt;=30,"Short",CallData[[#This Row],[Duration]]&lt;=60,"Medium",CallData[[#This Row],[Duration]]&gt;60,"Long")</f>
        <v>Long</v>
      </c>
      <c r="E416" s="24" t="s">
        <v>35</v>
      </c>
      <c r="F416" s="25">
        <v>45041</v>
      </c>
      <c r="G416" s="26">
        <v>144</v>
      </c>
      <c r="H416" s="26" t="str" cm="1">
        <f t="array" ref="H416">_xlfn.IFS(CallData[[#This Row],[Purchase Amount]]&lt;=50,"Low",CallData[[#This Row],[Purchase Amount]]&lt;=100,"Medium",CallData[[#This Row],[Purchase Amount]]&lt;=150,"High",CallData[[#This Row],[Purchase Amount]]&gt;150,"Very High")</f>
        <v>High</v>
      </c>
      <c r="I416" s="23">
        <v>4.0999999999999996</v>
      </c>
      <c r="J416" s="23">
        <f>IF(MONTH('Call Data'!$F416)&lt;=6, YEAR('Call Data'!$F416), YEAR('Call Data'!$F416)+1)</f>
        <v>2023</v>
      </c>
      <c r="K416" s="23" t="str">
        <f>TEXT('Call Data'!$F416,"DDDD")</f>
        <v>Tuesday</v>
      </c>
      <c r="L416" s="23" t="s">
        <v>25</v>
      </c>
      <c r="M416" s="23">
        <f>ROUND('Call Data'!$I416,0)</f>
        <v>4</v>
      </c>
    </row>
    <row r="417" spans="1:13" ht="14.25" customHeight="1" x14ac:dyDescent="0.35">
      <c r="A417" s="23" t="s">
        <v>451</v>
      </c>
      <c r="B417" s="23" t="s">
        <v>58</v>
      </c>
      <c r="C417" s="23">
        <v>124</v>
      </c>
      <c r="D417" s="24" t="str" cm="1">
        <f t="array" ref="D417">_xlfn.IFS(CallData[[#This Row],[Duration]]&lt;=15,"Very short",CallData[[#This Row],[Duration]]&lt;=30,"Short",CallData[[#This Row],[Duration]]&lt;=60,"Medium",CallData[[#This Row],[Duration]]&gt;60,"Long")</f>
        <v>Long</v>
      </c>
      <c r="E417" s="24" t="s">
        <v>19</v>
      </c>
      <c r="F417" s="25">
        <v>45041</v>
      </c>
      <c r="G417" s="26">
        <v>132</v>
      </c>
      <c r="H417" s="26" t="str" cm="1">
        <f t="array" ref="H417">_xlfn.IFS(CallData[[#This Row],[Purchase Amount]]&lt;=50,"Low",CallData[[#This Row],[Purchase Amount]]&lt;=100,"Medium",CallData[[#This Row],[Purchase Amount]]&lt;=150,"High",CallData[[#This Row],[Purchase Amount]]&gt;150,"Very High")</f>
        <v>High</v>
      </c>
      <c r="I417" s="23">
        <v>4.9000000000000004</v>
      </c>
      <c r="J417" s="23">
        <f>IF(MONTH('Call Data'!$F417)&lt;=6, YEAR('Call Data'!$F417), YEAR('Call Data'!$F417)+1)</f>
        <v>2023</v>
      </c>
      <c r="K417" s="23" t="str">
        <f>TEXT('Call Data'!$F417,"DDDD")</f>
        <v>Tuesday</v>
      </c>
      <c r="L417" s="23" t="s">
        <v>25</v>
      </c>
      <c r="M417" s="23">
        <f>ROUND('Call Data'!$I417,0)</f>
        <v>5</v>
      </c>
    </row>
    <row r="418" spans="1:13" ht="14.25" customHeight="1" x14ac:dyDescent="0.35">
      <c r="A418" s="23" t="s">
        <v>452</v>
      </c>
      <c r="B418" s="23" t="s">
        <v>18</v>
      </c>
      <c r="C418" s="23">
        <v>108</v>
      </c>
      <c r="D418" s="24" t="str" cm="1">
        <f t="array" ref="D418">_xlfn.IFS(CallData[[#This Row],[Duration]]&lt;=15,"Very short",CallData[[#This Row],[Duration]]&lt;=30,"Short",CallData[[#This Row],[Duration]]&lt;=60,"Medium",CallData[[#This Row],[Duration]]&gt;60,"Long")</f>
        <v>Long</v>
      </c>
      <c r="E418" s="24" t="s">
        <v>19</v>
      </c>
      <c r="F418" s="25">
        <v>45041</v>
      </c>
      <c r="G418" s="26">
        <v>180</v>
      </c>
      <c r="H418" s="26" t="str" cm="1">
        <f t="array" ref="H418">_xlfn.IFS(CallData[[#This Row],[Purchase Amount]]&lt;=50,"Low",CallData[[#This Row],[Purchase Amount]]&lt;=100,"Medium",CallData[[#This Row],[Purchase Amount]]&lt;=150,"High",CallData[[#This Row],[Purchase Amount]]&gt;150,"Very High")</f>
        <v>Very High</v>
      </c>
      <c r="I418" s="23">
        <v>3.9</v>
      </c>
      <c r="J418" s="23">
        <f>IF(MONTH('Call Data'!$F418)&lt;=6, YEAR('Call Data'!$F418), YEAR('Call Data'!$F418)+1)</f>
        <v>2023</v>
      </c>
      <c r="K418" s="23" t="str">
        <f>TEXT('Call Data'!$F418,"DDDD")</f>
        <v>Tuesday</v>
      </c>
      <c r="L418" s="23" t="s">
        <v>14</v>
      </c>
      <c r="M418" s="23">
        <f>ROUND('Call Data'!$I418,0)</f>
        <v>4</v>
      </c>
    </row>
    <row r="419" spans="1:13" ht="14.25" customHeight="1" x14ac:dyDescent="0.35">
      <c r="A419" s="23" t="s">
        <v>453</v>
      </c>
      <c r="B419" s="23" t="s">
        <v>23</v>
      </c>
      <c r="C419" s="23">
        <v>15</v>
      </c>
      <c r="D419" s="24" t="str" cm="1">
        <f t="array" ref="D419">_xlfn.IFS(CallData[[#This Row],[Duration]]&lt;=15,"Very short",CallData[[#This Row],[Duration]]&lt;=30,"Short",CallData[[#This Row],[Duration]]&lt;=60,"Medium",CallData[[#This Row],[Duration]]&gt;60,"Long")</f>
        <v>Very short</v>
      </c>
      <c r="E419" s="24" t="s">
        <v>19</v>
      </c>
      <c r="F419" s="25">
        <v>45041</v>
      </c>
      <c r="G419" s="26">
        <v>31</v>
      </c>
      <c r="H419" s="26" t="str" cm="1">
        <f t="array" ref="H419">_xlfn.IFS(CallData[[#This Row],[Purchase Amount]]&lt;=50,"Low",CallData[[#This Row],[Purchase Amount]]&lt;=100,"Medium",CallData[[#This Row],[Purchase Amount]]&lt;=150,"High",CallData[[#This Row],[Purchase Amount]]&gt;150,"Very High")</f>
        <v>Low</v>
      </c>
      <c r="I419" s="23">
        <v>4.0999999999999996</v>
      </c>
      <c r="J419" s="23">
        <f>IF(MONTH('Call Data'!$F419)&lt;=6, YEAR('Call Data'!$F419), YEAR('Call Data'!$F419)+1)</f>
        <v>2023</v>
      </c>
      <c r="K419" s="23" t="str">
        <f>TEXT('Call Data'!$F419,"DDDD")</f>
        <v>Tuesday</v>
      </c>
      <c r="L419" s="23" t="s">
        <v>47</v>
      </c>
      <c r="M419" s="23">
        <f>ROUND('Call Data'!$I419,0)</f>
        <v>4</v>
      </c>
    </row>
    <row r="420" spans="1:13" ht="14.25" customHeight="1" x14ac:dyDescent="0.35">
      <c r="A420" s="23" t="s">
        <v>454</v>
      </c>
      <c r="B420" s="23" t="s">
        <v>18</v>
      </c>
      <c r="C420" s="23">
        <v>66</v>
      </c>
      <c r="D420" s="24" t="str" cm="1">
        <f t="array" ref="D420">_xlfn.IFS(CallData[[#This Row],[Duration]]&lt;=15,"Very short",CallData[[#This Row],[Duration]]&lt;=30,"Short",CallData[[#This Row],[Duration]]&lt;=60,"Medium",CallData[[#This Row],[Duration]]&gt;60,"Long")</f>
        <v>Long</v>
      </c>
      <c r="E420" s="24" t="s">
        <v>19</v>
      </c>
      <c r="F420" s="25">
        <v>45041</v>
      </c>
      <c r="G420" s="26">
        <v>102</v>
      </c>
      <c r="H420" s="26" t="str" cm="1">
        <f t="array" ref="H420">_xlfn.IFS(CallData[[#This Row],[Purchase Amount]]&lt;=50,"Low",CallData[[#This Row],[Purchase Amount]]&lt;=100,"Medium",CallData[[#This Row],[Purchase Amount]]&lt;=150,"High",CallData[[#This Row],[Purchase Amount]]&gt;150,"Very High")</f>
        <v>High</v>
      </c>
      <c r="I420" s="23">
        <v>3.8</v>
      </c>
      <c r="J420" s="23">
        <f>IF(MONTH('Call Data'!$F420)&lt;=6, YEAR('Call Data'!$F420), YEAR('Call Data'!$F420)+1)</f>
        <v>2023</v>
      </c>
      <c r="K420" s="23" t="str">
        <f>TEXT('Call Data'!$F420,"DDDD")</f>
        <v>Tuesday</v>
      </c>
      <c r="L420" s="23" t="s">
        <v>14</v>
      </c>
      <c r="M420" s="23">
        <f>ROUND('Call Data'!$I420,0)</f>
        <v>4</v>
      </c>
    </row>
    <row r="421" spans="1:13" ht="14.25" customHeight="1" x14ac:dyDescent="0.35">
      <c r="A421" s="23" t="s">
        <v>455</v>
      </c>
      <c r="B421" s="23" t="s">
        <v>29</v>
      </c>
      <c r="C421" s="23">
        <v>126</v>
      </c>
      <c r="D421" s="24" t="str" cm="1">
        <f t="array" ref="D421">_xlfn.IFS(CallData[[#This Row],[Duration]]&lt;=15,"Very short",CallData[[#This Row],[Duration]]&lt;=30,"Short",CallData[[#This Row],[Duration]]&lt;=60,"Medium",CallData[[#This Row],[Duration]]&gt;60,"Long")</f>
        <v>Long</v>
      </c>
      <c r="E421" s="24" t="s">
        <v>24</v>
      </c>
      <c r="F421" s="25">
        <v>45042</v>
      </c>
      <c r="G421" s="26">
        <v>175</v>
      </c>
      <c r="H421" s="26" t="str" cm="1">
        <f t="array" ref="H421">_xlfn.IFS(CallData[[#This Row],[Purchase Amount]]&lt;=50,"Low",CallData[[#This Row],[Purchase Amount]]&lt;=100,"Medium",CallData[[#This Row],[Purchase Amount]]&lt;=150,"High",CallData[[#This Row],[Purchase Amount]]&gt;150,"Very High")</f>
        <v>Very High</v>
      </c>
      <c r="I421" s="23">
        <v>4.8</v>
      </c>
      <c r="J421" s="23">
        <f>IF(MONTH('Call Data'!$F421)&lt;=6, YEAR('Call Data'!$F421), YEAR('Call Data'!$F421)+1)</f>
        <v>2023</v>
      </c>
      <c r="K421" s="23" t="str">
        <f>TEXT('Call Data'!$F421,"DDDD")</f>
        <v>Wednesday</v>
      </c>
      <c r="L421" s="23" t="s">
        <v>25</v>
      </c>
      <c r="M421" s="23">
        <f>ROUND('Call Data'!$I421,0)</f>
        <v>5</v>
      </c>
    </row>
    <row r="422" spans="1:13" ht="14.25" customHeight="1" x14ac:dyDescent="0.35">
      <c r="A422" s="23" t="s">
        <v>456</v>
      </c>
      <c r="B422" s="23" t="s">
        <v>58</v>
      </c>
      <c r="C422" s="23">
        <v>26</v>
      </c>
      <c r="D422" s="24" t="str" cm="1">
        <f t="array" ref="D422">_xlfn.IFS(CallData[[#This Row],[Duration]]&lt;=15,"Very short",CallData[[#This Row],[Duration]]&lt;=30,"Short",CallData[[#This Row],[Duration]]&lt;=60,"Medium",CallData[[#This Row],[Duration]]&gt;60,"Long")</f>
        <v>Short</v>
      </c>
      <c r="E422" s="24" t="s">
        <v>13</v>
      </c>
      <c r="F422" s="25">
        <v>45042</v>
      </c>
      <c r="G422" s="26">
        <v>87</v>
      </c>
      <c r="H422" s="26" t="str" cm="1">
        <f t="array" ref="H422">_xlfn.IFS(CallData[[#This Row],[Purchase Amount]]&lt;=50,"Low",CallData[[#This Row],[Purchase Amount]]&lt;=100,"Medium",CallData[[#This Row],[Purchase Amount]]&lt;=150,"High",CallData[[#This Row],[Purchase Amount]]&gt;150,"Very High")</f>
        <v>Medium</v>
      </c>
      <c r="I422" s="23">
        <v>4.7</v>
      </c>
      <c r="J422" s="23">
        <f>IF(MONTH('Call Data'!$F422)&lt;=6, YEAR('Call Data'!$F422), YEAR('Call Data'!$F422)+1)</f>
        <v>2023</v>
      </c>
      <c r="K422" s="23" t="str">
        <f>TEXT('Call Data'!$F422,"DDDD")</f>
        <v>Wednesday</v>
      </c>
      <c r="L422" s="23" t="s">
        <v>47</v>
      </c>
      <c r="M422" s="23">
        <f>ROUND('Call Data'!$I422,0)</f>
        <v>5</v>
      </c>
    </row>
    <row r="423" spans="1:13" ht="14.25" customHeight="1" x14ac:dyDescent="0.35">
      <c r="A423" s="23" t="s">
        <v>457</v>
      </c>
      <c r="B423" s="23" t="s">
        <v>40</v>
      </c>
      <c r="C423" s="23">
        <v>105</v>
      </c>
      <c r="D423" s="24" t="str" cm="1">
        <f t="array" ref="D423">_xlfn.IFS(CallData[[#This Row],[Duration]]&lt;=15,"Very short",CallData[[#This Row],[Duration]]&lt;=30,"Short",CallData[[#This Row],[Duration]]&lt;=60,"Medium",CallData[[#This Row],[Duration]]&gt;60,"Long")</f>
        <v>Long</v>
      </c>
      <c r="E423" s="24" t="s">
        <v>24</v>
      </c>
      <c r="F423" s="25">
        <v>45042</v>
      </c>
      <c r="G423" s="26">
        <v>66</v>
      </c>
      <c r="H423" s="26" t="str" cm="1">
        <f t="array" ref="H423">_xlfn.IFS(CallData[[#This Row],[Purchase Amount]]&lt;=50,"Low",CallData[[#This Row],[Purchase Amount]]&lt;=100,"Medium",CallData[[#This Row],[Purchase Amount]]&lt;=150,"High",CallData[[#This Row],[Purchase Amount]]&gt;150,"Very High")</f>
        <v>Medium</v>
      </c>
      <c r="I423" s="23">
        <v>4.2</v>
      </c>
      <c r="J423" s="23">
        <f>IF(MONTH('Call Data'!$F423)&lt;=6, YEAR('Call Data'!$F423), YEAR('Call Data'!$F423)+1)</f>
        <v>2023</v>
      </c>
      <c r="K423" s="23" t="str">
        <f>TEXT('Call Data'!$F423,"DDDD")</f>
        <v>Wednesday</v>
      </c>
      <c r="L423" s="23" t="s">
        <v>14</v>
      </c>
      <c r="M423" s="23">
        <f>ROUND('Call Data'!$I423,0)</f>
        <v>4</v>
      </c>
    </row>
    <row r="424" spans="1:13" ht="14.25" customHeight="1" x14ac:dyDescent="0.35">
      <c r="A424" s="23" t="s">
        <v>458</v>
      </c>
      <c r="B424" s="23" t="s">
        <v>40</v>
      </c>
      <c r="C424" s="23">
        <v>31</v>
      </c>
      <c r="D424" s="24" t="str" cm="1">
        <f t="array" ref="D424">_xlfn.IFS(CallData[[#This Row],[Duration]]&lt;=15,"Very short",CallData[[#This Row],[Duration]]&lt;=30,"Short",CallData[[#This Row],[Duration]]&lt;=60,"Medium",CallData[[#This Row],[Duration]]&gt;60,"Long")</f>
        <v>Medium</v>
      </c>
      <c r="E424" s="24" t="s">
        <v>24</v>
      </c>
      <c r="F424" s="25">
        <v>45042</v>
      </c>
      <c r="G424" s="26">
        <v>25</v>
      </c>
      <c r="H424" s="26" t="str" cm="1">
        <f t="array" ref="H424">_xlfn.IFS(CallData[[#This Row],[Purchase Amount]]&lt;=50,"Low",CallData[[#This Row],[Purchase Amount]]&lt;=100,"Medium",CallData[[#This Row],[Purchase Amount]]&lt;=150,"High",CallData[[#This Row],[Purchase Amount]]&gt;150,"Very High")</f>
        <v>Low</v>
      </c>
      <c r="I424" s="23">
        <v>3.2</v>
      </c>
      <c r="J424" s="23">
        <f>IF(MONTH('Call Data'!$F424)&lt;=6, YEAR('Call Data'!$F424), YEAR('Call Data'!$F424)+1)</f>
        <v>2023</v>
      </c>
      <c r="K424" s="23" t="str">
        <f>TEXT('Call Data'!$F424,"DDDD")</f>
        <v>Wednesday</v>
      </c>
      <c r="L424" s="23" t="s">
        <v>27</v>
      </c>
      <c r="M424" s="23">
        <f>ROUND('Call Data'!$I424,0)</f>
        <v>3</v>
      </c>
    </row>
    <row r="425" spans="1:13" ht="14.25" customHeight="1" x14ac:dyDescent="0.35">
      <c r="A425" s="23" t="s">
        <v>459</v>
      </c>
      <c r="B425" s="23" t="s">
        <v>18</v>
      </c>
      <c r="C425" s="23">
        <v>109</v>
      </c>
      <c r="D425" s="24" t="str" cm="1">
        <f t="array" ref="D425">_xlfn.IFS(CallData[[#This Row],[Duration]]&lt;=15,"Very short",CallData[[#This Row],[Duration]]&lt;=30,"Short",CallData[[#This Row],[Duration]]&lt;=60,"Medium",CallData[[#This Row],[Duration]]&gt;60,"Long")</f>
        <v>Long</v>
      </c>
      <c r="E425" s="24" t="s">
        <v>19</v>
      </c>
      <c r="F425" s="25">
        <v>45042</v>
      </c>
      <c r="G425" s="26">
        <v>126</v>
      </c>
      <c r="H425" s="26" t="str" cm="1">
        <f t="array" ref="H425">_xlfn.IFS(CallData[[#This Row],[Purchase Amount]]&lt;=50,"Low",CallData[[#This Row],[Purchase Amount]]&lt;=100,"Medium",CallData[[#This Row],[Purchase Amount]]&lt;=150,"High",CallData[[#This Row],[Purchase Amount]]&gt;150,"Very High")</f>
        <v>High</v>
      </c>
      <c r="I425" s="23">
        <v>3.4</v>
      </c>
      <c r="J425" s="23">
        <f>IF(MONTH('Call Data'!$F425)&lt;=6, YEAR('Call Data'!$F425), YEAR('Call Data'!$F425)+1)</f>
        <v>2023</v>
      </c>
      <c r="K425" s="23" t="str">
        <f>TEXT('Call Data'!$F425,"DDDD")</f>
        <v>Wednesday</v>
      </c>
      <c r="L425" s="23" t="s">
        <v>14</v>
      </c>
      <c r="M425" s="23">
        <f>ROUND('Call Data'!$I425,0)</f>
        <v>3</v>
      </c>
    </row>
    <row r="426" spans="1:13" ht="14.25" customHeight="1" x14ac:dyDescent="0.35">
      <c r="A426" s="23" t="s">
        <v>460</v>
      </c>
      <c r="B426" s="23" t="s">
        <v>12</v>
      </c>
      <c r="C426" s="23">
        <v>113</v>
      </c>
      <c r="D426" s="24" t="str" cm="1">
        <f t="array" ref="D426">_xlfn.IFS(CallData[[#This Row],[Duration]]&lt;=15,"Very short",CallData[[#This Row],[Duration]]&lt;=30,"Short",CallData[[#This Row],[Duration]]&lt;=60,"Medium",CallData[[#This Row],[Duration]]&gt;60,"Long")</f>
        <v>Long</v>
      </c>
      <c r="E426" s="24" t="s">
        <v>31</v>
      </c>
      <c r="F426" s="25">
        <v>45043</v>
      </c>
      <c r="G426" s="26">
        <v>42</v>
      </c>
      <c r="H426" s="26" t="str" cm="1">
        <f t="array" ref="H426">_xlfn.IFS(CallData[[#This Row],[Purchase Amount]]&lt;=50,"Low",CallData[[#This Row],[Purchase Amount]]&lt;=100,"Medium",CallData[[#This Row],[Purchase Amount]]&lt;=150,"High",CallData[[#This Row],[Purchase Amount]]&gt;150,"Very High")</f>
        <v>Low</v>
      </c>
      <c r="I426" s="23">
        <v>4.5999999999999996</v>
      </c>
      <c r="J426" s="23">
        <f>IF(MONTH('Call Data'!$F426)&lt;=6, YEAR('Call Data'!$F426), YEAR('Call Data'!$F426)+1)</f>
        <v>2023</v>
      </c>
      <c r="K426" s="23" t="str">
        <f>TEXT('Call Data'!$F426,"DDDD")</f>
        <v>Thursday</v>
      </c>
      <c r="L426" s="23" t="s">
        <v>14</v>
      </c>
      <c r="M426" s="23">
        <f>ROUND('Call Data'!$I426,0)</f>
        <v>5</v>
      </c>
    </row>
    <row r="427" spans="1:13" ht="14.25" customHeight="1" x14ac:dyDescent="0.35">
      <c r="A427" s="23" t="s">
        <v>461</v>
      </c>
      <c r="B427" s="23" t="s">
        <v>29</v>
      </c>
      <c r="C427" s="23">
        <v>101</v>
      </c>
      <c r="D427" s="24" t="str" cm="1">
        <f t="array" ref="D427">_xlfn.IFS(CallData[[#This Row],[Duration]]&lt;=15,"Very short",CallData[[#This Row],[Duration]]&lt;=30,"Short",CallData[[#This Row],[Duration]]&lt;=60,"Medium",CallData[[#This Row],[Duration]]&gt;60,"Long")</f>
        <v>Long</v>
      </c>
      <c r="E427" s="24" t="s">
        <v>13</v>
      </c>
      <c r="F427" s="25">
        <v>45043</v>
      </c>
      <c r="G427" s="26">
        <v>225</v>
      </c>
      <c r="H427" s="26" t="str" cm="1">
        <f t="array" ref="H427">_xlfn.IFS(CallData[[#This Row],[Purchase Amount]]&lt;=50,"Low",CallData[[#This Row],[Purchase Amount]]&lt;=100,"Medium",CallData[[#This Row],[Purchase Amount]]&lt;=150,"High",CallData[[#This Row],[Purchase Amount]]&gt;150,"Very High")</f>
        <v>Very High</v>
      </c>
      <c r="I427" s="23">
        <v>1.9</v>
      </c>
      <c r="J427" s="23">
        <f>IF(MONTH('Call Data'!$F427)&lt;=6, YEAR('Call Data'!$F427), YEAR('Call Data'!$F427)+1)</f>
        <v>2023</v>
      </c>
      <c r="K427" s="23" t="str">
        <f>TEXT('Call Data'!$F427,"DDDD")</f>
        <v>Thursday</v>
      </c>
      <c r="L427" s="23" t="s">
        <v>14</v>
      </c>
      <c r="M427" s="23">
        <f>ROUND('Call Data'!$I427,0)</f>
        <v>2</v>
      </c>
    </row>
    <row r="428" spans="1:13" ht="14.25" customHeight="1" x14ac:dyDescent="0.35">
      <c r="A428" s="23" t="s">
        <v>462</v>
      </c>
      <c r="B428" s="23" t="s">
        <v>21</v>
      </c>
      <c r="C428" s="23">
        <v>156</v>
      </c>
      <c r="D428" s="24" t="str" cm="1">
        <f t="array" ref="D428">_xlfn.IFS(CallData[[#This Row],[Duration]]&lt;=15,"Very short",CallData[[#This Row],[Duration]]&lt;=30,"Short",CallData[[#This Row],[Duration]]&lt;=60,"Medium",CallData[[#This Row],[Duration]]&gt;60,"Long")</f>
        <v>Long</v>
      </c>
      <c r="E428" s="24" t="s">
        <v>13</v>
      </c>
      <c r="F428" s="25">
        <v>45043</v>
      </c>
      <c r="G428" s="26">
        <v>42</v>
      </c>
      <c r="H428" s="26" t="str" cm="1">
        <f t="array" ref="H428">_xlfn.IFS(CallData[[#This Row],[Purchase Amount]]&lt;=50,"Low",CallData[[#This Row],[Purchase Amount]]&lt;=100,"Medium",CallData[[#This Row],[Purchase Amount]]&lt;=150,"High",CallData[[#This Row],[Purchase Amount]]&gt;150,"Very High")</f>
        <v>Low</v>
      </c>
      <c r="I428" s="23">
        <v>3.3</v>
      </c>
      <c r="J428" s="23">
        <f>IF(MONTH('Call Data'!$F428)&lt;=6, YEAR('Call Data'!$F428), YEAR('Call Data'!$F428)+1)</f>
        <v>2023</v>
      </c>
      <c r="K428" s="23" t="str">
        <f>TEXT('Call Data'!$F428,"DDDD")</f>
        <v>Thursday</v>
      </c>
      <c r="L428" s="23" t="s">
        <v>25</v>
      </c>
      <c r="M428" s="23">
        <f>ROUND('Call Data'!$I428,0)</f>
        <v>3</v>
      </c>
    </row>
    <row r="429" spans="1:13" ht="14.25" customHeight="1" x14ac:dyDescent="0.35">
      <c r="A429" s="23" t="s">
        <v>463</v>
      </c>
      <c r="B429" s="23" t="s">
        <v>18</v>
      </c>
      <c r="C429" s="23">
        <v>145</v>
      </c>
      <c r="D429" s="24" t="str" cm="1">
        <f t="array" ref="D429">_xlfn.IFS(CallData[[#This Row],[Duration]]&lt;=15,"Very short",CallData[[#This Row],[Duration]]&lt;=30,"Short",CallData[[#This Row],[Duration]]&lt;=60,"Medium",CallData[[#This Row],[Duration]]&gt;60,"Long")</f>
        <v>Long</v>
      </c>
      <c r="E429" s="24" t="s">
        <v>31</v>
      </c>
      <c r="F429" s="25">
        <v>45044</v>
      </c>
      <c r="G429" s="26">
        <v>110</v>
      </c>
      <c r="H429" s="26" t="str" cm="1">
        <f t="array" ref="H429">_xlfn.IFS(CallData[[#This Row],[Purchase Amount]]&lt;=50,"Low",CallData[[#This Row],[Purchase Amount]]&lt;=100,"Medium",CallData[[#This Row],[Purchase Amount]]&lt;=150,"High",CallData[[#This Row],[Purchase Amount]]&gt;150,"Very High")</f>
        <v>High</v>
      </c>
      <c r="I429" s="23">
        <v>3.1</v>
      </c>
      <c r="J429" s="23">
        <f>IF(MONTH('Call Data'!$F429)&lt;=6, YEAR('Call Data'!$F429), YEAR('Call Data'!$F429)+1)</f>
        <v>2023</v>
      </c>
      <c r="K429" s="23" t="str">
        <f>TEXT('Call Data'!$F429,"DDDD")</f>
        <v>Friday</v>
      </c>
      <c r="L429" s="23" t="s">
        <v>25</v>
      </c>
      <c r="M429" s="23">
        <f>ROUND('Call Data'!$I429,0)</f>
        <v>3</v>
      </c>
    </row>
    <row r="430" spans="1:13" ht="14.25" customHeight="1" x14ac:dyDescent="0.35">
      <c r="A430" s="23" t="s">
        <v>464</v>
      </c>
      <c r="B430" s="23" t="s">
        <v>50</v>
      </c>
      <c r="C430" s="23">
        <v>36</v>
      </c>
      <c r="D430" s="24" t="str" cm="1">
        <f t="array" ref="D430">_xlfn.IFS(CallData[[#This Row],[Duration]]&lt;=15,"Very short",CallData[[#This Row],[Duration]]&lt;=30,"Short",CallData[[#This Row],[Duration]]&lt;=60,"Medium",CallData[[#This Row],[Duration]]&gt;60,"Long")</f>
        <v>Medium</v>
      </c>
      <c r="E430" s="24" t="s">
        <v>19</v>
      </c>
      <c r="F430" s="25">
        <v>45044</v>
      </c>
      <c r="G430" s="26">
        <v>225</v>
      </c>
      <c r="H430" s="26" t="str" cm="1">
        <f t="array" ref="H430">_xlfn.IFS(CallData[[#This Row],[Purchase Amount]]&lt;=50,"Low",CallData[[#This Row],[Purchase Amount]]&lt;=100,"Medium",CallData[[#This Row],[Purchase Amount]]&lt;=150,"High",CallData[[#This Row],[Purchase Amount]]&gt;150,"Very High")</f>
        <v>Very High</v>
      </c>
      <c r="I430" s="23">
        <v>4.8</v>
      </c>
      <c r="J430" s="23">
        <f>IF(MONTH('Call Data'!$F430)&lt;=6, YEAR('Call Data'!$F430), YEAR('Call Data'!$F430)+1)</f>
        <v>2023</v>
      </c>
      <c r="K430" s="23" t="str">
        <f>TEXT('Call Data'!$F430,"DDDD")</f>
        <v>Friday</v>
      </c>
      <c r="L430" s="23" t="s">
        <v>27</v>
      </c>
      <c r="M430" s="23">
        <f>ROUND('Call Data'!$I430,0)</f>
        <v>5</v>
      </c>
    </row>
    <row r="431" spans="1:13" ht="14.25" customHeight="1" x14ac:dyDescent="0.35">
      <c r="A431" s="23" t="s">
        <v>465</v>
      </c>
      <c r="B431" s="23" t="s">
        <v>40</v>
      </c>
      <c r="C431" s="23">
        <v>135</v>
      </c>
      <c r="D431" s="24" t="str" cm="1">
        <f t="array" ref="D431">_xlfn.IFS(CallData[[#This Row],[Duration]]&lt;=15,"Very short",CallData[[#This Row],[Duration]]&lt;=30,"Short",CallData[[#This Row],[Duration]]&lt;=60,"Medium",CallData[[#This Row],[Duration]]&gt;60,"Long")</f>
        <v>Long</v>
      </c>
      <c r="E431" s="24" t="s">
        <v>35</v>
      </c>
      <c r="F431" s="25">
        <v>45045</v>
      </c>
      <c r="G431" s="26">
        <v>125</v>
      </c>
      <c r="H431" s="26" t="str" cm="1">
        <f t="array" ref="H431">_xlfn.IFS(CallData[[#This Row],[Purchase Amount]]&lt;=50,"Low",CallData[[#This Row],[Purchase Amount]]&lt;=100,"Medium",CallData[[#This Row],[Purchase Amount]]&lt;=150,"High",CallData[[#This Row],[Purchase Amount]]&gt;150,"Very High")</f>
        <v>High</v>
      </c>
      <c r="I431" s="23">
        <v>3.3</v>
      </c>
      <c r="J431" s="23">
        <f>IF(MONTH('Call Data'!$F431)&lt;=6, YEAR('Call Data'!$F431), YEAR('Call Data'!$F431)+1)</f>
        <v>2023</v>
      </c>
      <c r="K431" s="23" t="str">
        <f>TEXT('Call Data'!$F431,"DDDD")</f>
        <v>Saturday</v>
      </c>
      <c r="L431" s="23" t="s">
        <v>25</v>
      </c>
      <c r="M431" s="23">
        <f>ROUND('Call Data'!$I431,0)</f>
        <v>3</v>
      </c>
    </row>
    <row r="432" spans="1:13" ht="14.25" customHeight="1" x14ac:dyDescent="0.35">
      <c r="A432" s="23" t="s">
        <v>466</v>
      </c>
      <c r="B432" s="23" t="s">
        <v>29</v>
      </c>
      <c r="C432" s="23">
        <v>81</v>
      </c>
      <c r="D432" s="24" t="str" cm="1">
        <f t="array" ref="D432">_xlfn.IFS(CallData[[#This Row],[Duration]]&lt;=15,"Very short",CallData[[#This Row],[Duration]]&lt;=30,"Short",CallData[[#This Row],[Duration]]&lt;=60,"Medium",CallData[[#This Row],[Duration]]&gt;60,"Long")</f>
        <v>Long</v>
      </c>
      <c r="E432" s="24" t="s">
        <v>19</v>
      </c>
      <c r="F432" s="25">
        <v>45045</v>
      </c>
      <c r="G432" s="26">
        <v>78</v>
      </c>
      <c r="H432" s="26" t="str" cm="1">
        <f t="array" ref="H432">_xlfn.IFS(CallData[[#This Row],[Purchase Amount]]&lt;=50,"Low",CallData[[#This Row],[Purchase Amount]]&lt;=100,"Medium",CallData[[#This Row],[Purchase Amount]]&lt;=150,"High",CallData[[#This Row],[Purchase Amount]]&gt;150,"Very High")</f>
        <v>Medium</v>
      </c>
      <c r="I432" s="23">
        <v>2.9</v>
      </c>
      <c r="J432" s="23">
        <f>IF(MONTH('Call Data'!$F432)&lt;=6, YEAR('Call Data'!$F432), YEAR('Call Data'!$F432)+1)</f>
        <v>2023</v>
      </c>
      <c r="K432" s="23" t="str">
        <f>TEXT('Call Data'!$F432,"DDDD")</f>
        <v>Saturday</v>
      </c>
      <c r="L432" s="23" t="s">
        <v>14</v>
      </c>
      <c r="M432" s="23">
        <f>ROUND('Call Data'!$I432,0)</f>
        <v>3</v>
      </c>
    </row>
    <row r="433" spans="1:13" ht="14.25" customHeight="1" x14ac:dyDescent="0.35">
      <c r="A433" s="23" t="s">
        <v>467</v>
      </c>
      <c r="B433" s="23" t="s">
        <v>29</v>
      </c>
      <c r="C433" s="23">
        <v>81</v>
      </c>
      <c r="D433" s="24" t="str" cm="1">
        <f t="array" ref="D433">_xlfn.IFS(CallData[[#This Row],[Duration]]&lt;=15,"Very short",CallData[[#This Row],[Duration]]&lt;=30,"Short",CallData[[#This Row],[Duration]]&lt;=60,"Medium",CallData[[#This Row],[Duration]]&gt;60,"Long")</f>
        <v>Long</v>
      </c>
      <c r="E433" s="24" t="s">
        <v>31</v>
      </c>
      <c r="F433" s="25">
        <v>45045</v>
      </c>
      <c r="G433" s="26">
        <v>40</v>
      </c>
      <c r="H433" s="26" t="str" cm="1">
        <f t="array" ref="H433">_xlfn.IFS(CallData[[#This Row],[Purchase Amount]]&lt;=50,"Low",CallData[[#This Row],[Purchase Amount]]&lt;=100,"Medium",CallData[[#This Row],[Purchase Amount]]&lt;=150,"High",CallData[[#This Row],[Purchase Amount]]&gt;150,"Very High")</f>
        <v>Low</v>
      </c>
      <c r="I433" s="23">
        <v>2.4</v>
      </c>
      <c r="J433" s="23">
        <f>IF(MONTH('Call Data'!$F433)&lt;=6, YEAR('Call Data'!$F433), YEAR('Call Data'!$F433)+1)</f>
        <v>2023</v>
      </c>
      <c r="K433" s="23" t="str">
        <f>TEXT('Call Data'!$F433,"DDDD")</f>
        <v>Saturday</v>
      </c>
      <c r="L433" s="23" t="s">
        <v>14</v>
      </c>
      <c r="M433" s="23">
        <f>ROUND('Call Data'!$I433,0)</f>
        <v>2</v>
      </c>
    </row>
    <row r="434" spans="1:13" ht="14.25" customHeight="1" x14ac:dyDescent="0.35">
      <c r="A434" s="23" t="s">
        <v>468</v>
      </c>
      <c r="B434" s="23" t="s">
        <v>46</v>
      </c>
      <c r="C434" s="23">
        <v>93</v>
      </c>
      <c r="D434" s="24" t="str" cm="1">
        <f t="array" ref="D434">_xlfn.IFS(CallData[[#This Row],[Duration]]&lt;=15,"Very short",CallData[[#This Row],[Duration]]&lt;=30,"Short",CallData[[#This Row],[Duration]]&lt;=60,"Medium",CallData[[#This Row],[Duration]]&gt;60,"Long")</f>
        <v>Long</v>
      </c>
      <c r="E434" s="24" t="s">
        <v>24</v>
      </c>
      <c r="F434" s="25">
        <v>45045</v>
      </c>
      <c r="G434" s="26">
        <v>150</v>
      </c>
      <c r="H434" s="26" t="str" cm="1">
        <f t="array" ref="H434">_xlfn.IFS(CallData[[#This Row],[Purchase Amount]]&lt;=50,"Low",CallData[[#This Row],[Purchase Amount]]&lt;=100,"Medium",CallData[[#This Row],[Purchase Amount]]&lt;=150,"High",CallData[[#This Row],[Purchase Amount]]&gt;150,"Very High")</f>
        <v>High</v>
      </c>
      <c r="I434" s="23">
        <v>4.5999999999999996</v>
      </c>
      <c r="J434" s="23">
        <f>IF(MONTH('Call Data'!$F434)&lt;=6, YEAR('Call Data'!$F434), YEAR('Call Data'!$F434)+1)</f>
        <v>2023</v>
      </c>
      <c r="K434" s="23" t="str">
        <f>TEXT('Call Data'!$F434,"DDDD")</f>
        <v>Saturday</v>
      </c>
      <c r="L434" s="23" t="s">
        <v>14</v>
      </c>
      <c r="M434" s="23">
        <f>ROUND('Call Data'!$I434,0)</f>
        <v>5</v>
      </c>
    </row>
    <row r="435" spans="1:13" ht="14.25" customHeight="1" x14ac:dyDescent="0.35">
      <c r="A435" s="23" t="s">
        <v>469</v>
      </c>
      <c r="B435" s="23" t="s">
        <v>18</v>
      </c>
      <c r="C435" s="23">
        <v>14</v>
      </c>
      <c r="D435" s="24" t="str" cm="1">
        <f t="array" ref="D435">_xlfn.IFS(CallData[[#This Row],[Duration]]&lt;=15,"Very short",CallData[[#This Row],[Duration]]&lt;=30,"Short",CallData[[#This Row],[Duration]]&lt;=60,"Medium",CallData[[#This Row],[Duration]]&gt;60,"Long")</f>
        <v>Very short</v>
      </c>
      <c r="E435" s="24" t="s">
        <v>19</v>
      </c>
      <c r="F435" s="25">
        <v>45045</v>
      </c>
      <c r="G435" s="26">
        <v>96</v>
      </c>
      <c r="H435" s="26" t="str" cm="1">
        <f t="array" ref="H435">_xlfn.IFS(CallData[[#This Row],[Purchase Amount]]&lt;=50,"Low",CallData[[#This Row],[Purchase Amount]]&lt;=100,"Medium",CallData[[#This Row],[Purchase Amount]]&lt;=150,"High",CallData[[#This Row],[Purchase Amount]]&gt;150,"Very High")</f>
        <v>Medium</v>
      </c>
      <c r="I435" s="23">
        <v>4.8</v>
      </c>
      <c r="J435" s="23">
        <f>IF(MONTH('Call Data'!$F435)&lt;=6, YEAR('Call Data'!$F435), YEAR('Call Data'!$F435)+1)</f>
        <v>2023</v>
      </c>
      <c r="K435" s="23" t="str">
        <f>TEXT('Call Data'!$F435,"DDDD")</f>
        <v>Saturday</v>
      </c>
      <c r="L435" s="23" t="s">
        <v>47</v>
      </c>
      <c r="M435" s="23">
        <f>ROUND('Call Data'!$I435,0)</f>
        <v>5</v>
      </c>
    </row>
    <row r="436" spans="1:13" ht="14.25" customHeight="1" x14ac:dyDescent="0.35">
      <c r="A436" s="23" t="s">
        <v>470</v>
      </c>
      <c r="B436" s="23" t="s">
        <v>40</v>
      </c>
      <c r="C436" s="23">
        <v>95</v>
      </c>
      <c r="D436" s="24" t="str" cm="1">
        <f t="array" ref="D436">_xlfn.IFS(CallData[[#This Row],[Duration]]&lt;=15,"Very short",CallData[[#This Row],[Duration]]&lt;=30,"Short",CallData[[#This Row],[Duration]]&lt;=60,"Medium",CallData[[#This Row],[Duration]]&gt;60,"Long")</f>
        <v>Long</v>
      </c>
      <c r="E436" s="24" t="s">
        <v>31</v>
      </c>
      <c r="F436" s="25">
        <v>45046</v>
      </c>
      <c r="G436" s="26">
        <v>75</v>
      </c>
      <c r="H436" s="26" t="str" cm="1">
        <f t="array" ref="H436">_xlfn.IFS(CallData[[#This Row],[Purchase Amount]]&lt;=50,"Low",CallData[[#This Row],[Purchase Amount]]&lt;=100,"Medium",CallData[[#This Row],[Purchase Amount]]&lt;=150,"High",CallData[[#This Row],[Purchase Amount]]&gt;150,"Very High")</f>
        <v>Medium</v>
      </c>
      <c r="I436" s="23">
        <v>4.8</v>
      </c>
      <c r="J436" s="23">
        <f>IF(MONTH('Call Data'!$F436)&lt;=6, YEAR('Call Data'!$F436), YEAR('Call Data'!$F436)+1)</f>
        <v>2023</v>
      </c>
      <c r="K436" s="23" t="str">
        <f>TEXT('Call Data'!$F436,"DDDD")</f>
        <v>Sunday</v>
      </c>
      <c r="L436" s="23" t="s">
        <v>14</v>
      </c>
      <c r="M436" s="23">
        <f>ROUND('Call Data'!$I436,0)</f>
        <v>5</v>
      </c>
    </row>
    <row r="437" spans="1:13" ht="14.25" customHeight="1" x14ac:dyDescent="0.35">
      <c r="A437" s="23" t="s">
        <v>471</v>
      </c>
      <c r="B437" s="23" t="s">
        <v>46</v>
      </c>
      <c r="C437" s="23">
        <v>81</v>
      </c>
      <c r="D437" s="24" t="str" cm="1">
        <f t="array" ref="D437">_xlfn.IFS(CallData[[#This Row],[Duration]]&lt;=15,"Very short",CallData[[#This Row],[Duration]]&lt;=30,"Short",CallData[[#This Row],[Duration]]&lt;=60,"Medium",CallData[[#This Row],[Duration]]&gt;60,"Long")</f>
        <v>Long</v>
      </c>
      <c r="E437" s="24" t="s">
        <v>31</v>
      </c>
      <c r="F437" s="25">
        <v>45046</v>
      </c>
      <c r="G437" s="26">
        <v>60</v>
      </c>
      <c r="H437" s="26" t="str" cm="1">
        <f t="array" ref="H437">_xlfn.IFS(CallData[[#This Row],[Purchase Amount]]&lt;=50,"Low",CallData[[#This Row],[Purchase Amount]]&lt;=100,"Medium",CallData[[#This Row],[Purchase Amount]]&lt;=150,"High",CallData[[#This Row],[Purchase Amount]]&gt;150,"Very High")</f>
        <v>Medium</v>
      </c>
      <c r="I437" s="23">
        <v>3.6</v>
      </c>
      <c r="J437" s="23">
        <f>IF(MONTH('Call Data'!$F437)&lt;=6, YEAR('Call Data'!$F437), YEAR('Call Data'!$F437)+1)</f>
        <v>2023</v>
      </c>
      <c r="K437" s="23" t="str">
        <f>TEXT('Call Data'!$F437,"DDDD")</f>
        <v>Sunday</v>
      </c>
      <c r="L437" s="23" t="s">
        <v>14</v>
      </c>
      <c r="M437" s="23">
        <f>ROUND('Call Data'!$I437,0)</f>
        <v>4</v>
      </c>
    </row>
    <row r="438" spans="1:13" ht="14.25" customHeight="1" x14ac:dyDescent="0.35">
      <c r="A438" s="23" t="s">
        <v>472</v>
      </c>
      <c r="B438" s="23" t="s">
        <v>88</v>
      </c>
      <c r="C438" s="23">
        <v>60</v>
      </c>
      <c r="D438" s="24" t="str" cm="1">
        <f t="array" ref="D438">_xlfn.IFS(CallData[[#This Row],[Duration]]&lt;=15,"Very short",CallData[[#This Row],[Duration]]&lt;=30,"Short",CallData[[#This Row],[Duration]]&lt;=60,"Medium",CallData[[#This Row],[Duration]]&gt;60,"Long")</f>
        <v>Medium</v>
      </c>
      <c r="E438" s="24" t="s">
        <v>19</v>
      </c>
      <c r="F438" s="25">
        <v>45047</v>
      </c>
      <c r="G438" s="26">
        <v>41</v>
      </c>
      <c r="H438" s="26" t="str" cm="1">
        <f t="array" ref="H438">_xlfn.IFS(CallData[[#This Row],[Purchase Amount]]&lt;=50,"Low",CallData[[#This Row],[Purchase Amount]]&lt;=100,"Medium",CallData[[#This Row],[Purchase Amount]]&lt;=150,"High",CallData[[#This Row],[Purchase Amount]]&gt;150,"Very High")</f>
        <v>Low</v>
      </c>
      <c r="I438" s="23">
        <v>4.8</v>
      </c>
      <c r="J438" s="23">
        <f>IF(MONTH('Call Data'!$F438)&lt;=6, YEAR('Call Data'!$F438), YEAR('Call Data'!$F438)+1)</f>
        <v>2023</v>
      </c>
      <c r="K438" s="23" t="str">
        <f>TEXT('Call Data'!$F438,"DDDD")</f>
        <v>Monday</v>
      </c>
      <c r="L438" s="23" t="s">
        <v>27</v>
      </c>
      <c r="M438" s="23">
        <f>ROUND('Call Data'!$I438,0)</f>
        <v>5</v>
      </c>
    </row>
    <row r="439" spans="1:13" ht="14.25" customHeight="1" x14ac:dyDescent="0.35">
      <c r="A439" s="23" t="s">
        <v>473</v>
      </c>
      <c r="B439" s="23" t="s">
        <v>38</v>
      </c>
      <c r="C439" s="23">
        <v>137</v>
      </c>
      <c r="D439" s="24" t="str" cm="1">
        <f t="array" ref="D439">_xlfn.IFS(CallData[[#This Row],[Duration]]&lt;=15,"Very short",CallData[[#This Row],[Duration]]&lt;=30,"Short",CallData[[#This Row],[Duration]]&lt;=60,"Medium",CallData[[#This Row],[Duration]]&gt;60,"Long")</f>
        <v>Long</v>
      </c>
      <c r="E439" s="24" t="s">
        <v>24</v>
      </c>
      <c r="F439" s="25">
        <v>45047</v>
      </c>
      <c r="G439" s="26">
        <v>20</v>
      </c>
      <c r="H439" s="26" t="str" cm="1">
        <f t="array" ref="H439">_xlfn.IFS(CallData[[#This Row],[Purchase Amount]]&lt;=50,"Low",CallData[[#This Row],[Purchase Amount]]&lt;=100,"Medium",CallData[[#This Row],[Purchase Amount]]&lt;=150,"High",CallData[[#This Row],[Purchase Amount]]&gt;150,"Very High")</f>
        <v>Low</v>
      </c>
      <c r="I439" s="23">
        <v>4.2</v>
      </c>
      <c r="J439" s="23">
        <f>IF(MONTH('Call Data'!$F439)&lt;=6, YEAR('Call Data'!$F439), YEAR('Call Data'!$F439)+1)</f>
        <v>2023</v>
      </c>
      <c r="K439" s="23" t="str">
        <f>TEXT('Call Data'!$F439,"DDDD")</f>
        <v>Monday</v>
      </c>
      <c r="L439" s="23" t="s">
        <v>25</v>
      </c>
      <c r="M439" s="23">
        <f>ROUND('Call Data'!$I439,0)</f>
        <v>4</v>
      </c>
    </row>
    <row r="440" spans="1:13" ht="14.25" customHeight="1" x14ac:dyDescent="0.35">
      <c r="A440" s="23" t="s">
        <v>474</v>
      </c>
      <c r="B440" s="23" t="s">
        <v>16</v>
      </c>
      <c r="C440" s="23">
        <v>112</v>
      </c>
      <c r="D440" s="24" t="str" cm="1">
        <f t="array" ref="D440">_xlfn.IFS(CallData[[#This Row],[Duration]]&lt;=15,"Very short",CallData[[#This Row],[Duration]]&lt;=30,"Short",CallData[[#This Row],[Duration]]&lt;=60,"Medium",CallData[[#This Row],[Duration]]&gt;60,"Long")</f>
        <v>Long</v>
      </c>
      <c r="E440" s="24" t="s">
        <v>35</v>
      </c>
      <c r="F440" s="25">
        <v>45047</v>
      </c>
      <c r="G440" s="26">
        <v>84</v>
      </c>
      <c r="H440" s="26" t="str" cm="1">
        <f t="array" ref="H440">_xlfn.IFS(CallData[[#This Row],[Purchase Amount]]&lt;=50,"Low",CallData[[#This Row],[Purchase Amount]]&lt;=100,"Medium",CallData[[#This Row],[Purchase Amount]]&lt;=150,"High",CallData[[#This Row],[Purchase Amount]]&gt;150,"Very High")</f>
        <v>Medium</v>
      </c>
      <c r="I440" s="23">
        <v>2.6</v>
      </c>
      <c r="J440" s="23">
        <f>IF(MONTH('Call Data'!$F440)&lt;=6, YEAR('Call Data'!$F440), YEAR('Call Data'!$F440)+1)</f>
        <v>2023</v>
      </c>
      <c r="K440" s="23" t="str">
        <f>TEXT('Call Data'!$F440,"DDDD")</f>
        <v>Monday</v>
      </c>
      <c r="L440" s="23" t="s">
        <v>14</v>
      </c>
      <c r="M440" s="23">
        <f>ROUND('Call Data'!$I440,0)</f>
        <v>3</v>
      </c>
    </row>
    <row r="441" spans="1:13" ht="14.25" customHeight="1" x14ac:dyDescent="0.35">
      <c r="A441" s="23" t="s">
        <v>475</v>
      </c>
      <c r="B441" s="23" t="s">
        <v>40</v>
      </c>
      <c r="C441" s="23">
        <v>76</v>
      </c>
      <c r="D441" s="24" t="str" cm="1">
        <f t="array" ref="D441">_xlfn.IFS(CallData[[#This Row],[Duration]]&lt;=15,"Very short",CallData[[#This Row],[Duration]]&lt;=30,"Short",CallData[[#This Row],[Duration]]&lt;=60,"Medium",CallData[[#This Row],[Duration]]&gt;60,"Long")</f>
        <v>Long</v>
      </c>
      <c r="E441" s="24" t="s">
        <v>13</v>
      </c>
      <c r="F441" s="25">
        <v>45047</v>
      </c>
      <c r="G441" s="26">
        <v>140</v>
      </c>
      <c r="H441" s="26" t="str" cm="1">
        <f t="array" ref="H441">_xlfn.IFS(CallData[[#This Row],[Purchase Amount]]&lt;=50,"Low",CallData[[#This Row],[Purchase Amount]]&lt;=100,"Medium",CallData[[#This Row],[Purchase Amount]]&lt;=150,"High",CallData[[#This Row],[Purchase Amount]]&gt;150,"Very High")</f>
        <v>High</v>
      </c>
      <c r="I441" s="23">
        <v>3.7</v>
      </c>
      <c r="J441" s="23">
        <f>IF(MONTH('Call Data'!$F441)&lt;=6, YEAR('Call Data'!$F441), YEAR('Call Data'!$F441)+1)</f>
        <v>2023</v>
      </c>
      <c r="K441" s="23" t="str">
        <f>TEXT('Call Data'!$F441,"DDDD")</f>
        <v>Monday</v>
      </c>
      <c r="L441" s="23" t="s">
        <v>14</v>
      </c>
      <c r="M441" s="23">
        <f>ROUND('Call Data'!$I441,0)</f>
        <v>4</v>
      </c>
    </row>
    <row r="442" spans="1:13" ht="14.25" customHeight="1" x14ac:dyDescent="0.35">
      <c r="A442" s="23" t="s">
        <v>476</v>
      </c>
      <c r="B442" s="23" t="s">
        <v>55</v>
      </c>
      <c r="C442" s="23">
        <v>73</v>
      </c>
      <c r="D442" s="24" t="str" cm="1">
        <f t="array" ref="D442">_xlfn.IFS(CallData[[#This Row],[Duration]]&lt;=15,"Very short",CallData[[#This Row],[Duration]]&lt;=30,"Short",CallData[[#This Row],[Duration]]&lt;=60,"Medium",CallData[[#This Row],[Duration]]&gt;60,"Long")</f>
        <v>Long</v>
      </c>
      <c r="E442" s="24" t="s">
        <v>19</v>
      </c>
      <c r="F442" s="25">
        <v>45047</v>
      </c>
      <c r="G442" s="26">
        <v>66</v>
      </c>
      <c r="H442" s="26" t="str" cm="1">
        <f t="array" ref="H442">_xlfn.IFS(CallData[[#This Row],[Purchase Amount]]&lt;=50,"Low",CallData[[#This Row],[Purchase Amount]]&lt;=100,"Medium",CallData[[#This Row],[Purchase Amount]]&lt;=150,"High",CallData[[#This Row],[Purchase Amount]]&gt;150,"Very High")</f>
        <v>Medium</v>
      </c>
      <c r="I442" s="23">
        <v>4.8</v>
      </c>
      <c r="J442" s="23">
        <f>IF(MONTH('Call Data'!$F442)&lt;=6, YEAR('Call Data'!$F442), YEAR('Call Data'!$F442)+1)</f>
        <v>2023</v>
      </c>
      <c r="K442" s="23" t="str">
        <f>TEXT('Call Data'!$F442,"DDDD")</f>
        <v>Monday</v>
      </c>
      <c r="L442" s="23" t="s">
        <v>14</v>
      </c>
      <c r="M442" s="23">
        <f>ROUND('Call Data'!$I442,0)</f>
        <v>5</v>
      </c>
    </row>
    <row r="443" spans="1:13" ht="14.25" customHeight="1" x14ac:dyDescent="0.35">
      <c r="A443" s="23" t="s">
        <v>477</v>
      </c>
      <c r="B443" s="23" t="s">
        <v>34</v>
      </c>
      <c r="C443" s="23">
        <v>119</v>
      </c>
      <c r="D443" s="24" t="str" cm="1">
        <f t="array" ref="D443">_xlfn.IFS(CallData[[#This Row],[Duration]]&lt;=15,"Very short",CallData[[#This Row],[Duration]]&lt;=30,"Short",CallData[[#This Row],[Duration]]&lt;=60,"Medium",CallData[[#This Row],[Duration]]&gt;60,"Long")</f>
        <v>Long</v>
      </c>
      <c r="E443" s="24" t="s">
        <v>24</v>
      </c>
      <c r="F443" s="25">
        <v>45047</v>
      </c>
      <c r="G443" s="26">
        <v>105</v>
      </c>
      <c r="H443" s="26" t="str" cm="1">
        <f t="array" ref="H443">_xlfn.IFS(CallData[[#This Row],[Purchase Amount]]&lt;=50,"Low",CallData[[#This Row],[Purchase Amount]]&lt;=100,"Medium",CallData[[#This Row],[Purchase Amount]]&lt;=150,"High",CallData[[#This Row],[Purchase Amount]]&gt;150,"Very High")</f>
        <v>High</v>
      </c>
      <c r="I443" s="23">
        <v>4.7</v>
      </c>
      <c r="J443" s="23">
        <f>IF(MONTH('Call Data'!$F443)&lt;=6, YEAR('Call Data'!$F443), YEAR('Call Data'!$F443)+1)</f>
        <v>2023</v>
      </c>
      <c r="K443" s="23" t="str">
        <f>TEXT('Call Data'!$F443,"DDDD")</f>
        <v>Monday</v>
      </c>
      <c r="L443" s="23" t="s">
        <v>14</v>
      </c>
      <c r="M443" s="23">
        <f>ROUND('Call Data'!$I443,0)</f>
        <v>5</v>
      </c>
    </row>
    <row r="444" spans="1:13" ht="14.25" customHeight="1" x14ac:dyDescent="0.35">
      <c r="A444" s="23" t="s">
        <v>478</v>
      </c>
      <c r="B444" s="23" t="s">
        <v>12</v>
      </c>
      <c r="C444" s="23">
        <v>135</v>
      </c>
      <c r="D444" s="24" t="str" cm="1">
        <f t="array" ref="D444">_xlfn.IFS(CallData[[#This Row],[Duration]]&lt;=15,"Very short",CallData[[#This Row],[Duration]]&lt;=30,"Short",CallData[[#This Row],[Duration]]&lt;=60,"Medium",CallData[[#This Row],[Duration]]&gt;60,"Long")</f>
        <v>Long</v>
      </c>
      <c r="E444" s="24" t="s">
        <v>31</v>
      </c>
      <c r="F444" s="25">
        <v>45048</v>
      </c>
      <c r="G444" s="26">
        <v>104</v>
      </c>
      <c r="H444" s="26" t="str" cm="1">
        <f t="array" ref="H444">_xlfn.IFS(CallData[[#This Row],[Purchase Amount]]&lt;=50,"Low",CallData[[#This Row],[Purchase Amount]]&lt;=100,"Medium",CallData[[#This Row],[Purchase Amount]]&lt;=150,"High",CallData[[#This Row],[Purchase Amount]]&gt;150,"Very High")</f>
        <v>High</v>
      </c>
      <c r="I444" s="23">
        <v>4.0999999999999996</v>
      </c>
      <c r="J444" s="23">
        <f>IF(MONTH('Call Data'!$F444)&lt;=6, YEAR('Call Data'!$F444), YEAR('Call Data'!$F444)+1)</f>
        <v>2023</v>
      </c>
      <c r="K444" s="23" t="str">
        <f>TEXT('Call Data'!$F444,"DDDD")</f>
        <v>Tuesday</v>
      </c>
      <c r="L444" s="23" t="s">
        <v>25</v>
      </c>
      <c r="M444" s="23">
        <f>ROUND('Call Data'!$I444,0)</f>
        <v>4</v>
      </c>
    </row>
    <row r="445" spans="1:13" ht="14.25" customHeight="1" x14ac:dyDescent="0.35">
      <c r="A445" s="23" t="s">
        <v>479</v>
      </c>
      <c r="B445" s="23" t="s">
        <v>38</v>
      </c>
      <c r="C445" s="23">
        <v>41</v>
      </c>
      <c r="D445" s="24" t="str" cm="1">
        <f t="array" ref="D445">_xlfn.IFS(CallData[[#This Row],[Duration]]&lt;=15,"Very short",CallData[[#This Row],[Duration]]&lt;=30,"Short",CallData[[#This Row],[Duration]]&lt;=60,"Medium",CallData[[#This Row],[Duration]]&gt;60,"Long")</f>
        <v>Medium</v>
      </c>
      <c r="E445" s="24" t="s">
        <v>35</v>
      </c>
      <c r="F445" s="25">
        <v>45048</v>
      </c>
      <c r="G445" s="26">
        <v>123</v>
      </c>
      <c r="H445" s="26" t="str" cm="1">
        <f t="array" ref="H445">_xlfn.IFS(CallData[[#This Row],[Purchase Amount]]&lt;=50,"Low",CallData[[#This Row],[Purchase Amount]]&lt;=100,"Medium",CallData[[#This Row],[Purchase Amount]]&lt;=150,"High",CallData[[#This Row],[Purchase Amount]]&gt;150,"Very High")</f>
        <v>High</v>
      </c>
      <c r="I445" s="23">
        <v>3.2</v>
      </c>
      <c r="J445" s="23">
        <f>IF(MONTH('Call Data'!$F445)&lt;=6, YEAR('Call Data'!$F445), YEAR('Call Data'!$F445)+1)</f>
        <v>2023</v>
      </c>
      <c r="K445" s="23" t="str">
        <f>TEXT('Call Data'!$F445,"DDDD")</f>
        <v>Tuesday</v>
      </c>
      <c r="L445" s="23" t="s">
        <v>27</v>
      </c>
      <c r="M445" s="23">
        <f>ROUND('Call Data'!$I445,0)</f>
        <v>3</v>
      </c>
    </row>
    <row r="446" spans="1:13" ht="14.25" customHeight="1" x14ac:dyDescent="0.35">
      <c r="A446" s="23" t="s">
        <v>480</v>
      </c>
      <c r="B446" s="23" t="s">
        <v>18</v>
      </c>
      <c r="C446" s="23">
        <v>35</v>
      </c>
      <c r="D446" s="24" t="str" cm="1">
        <f t="array" ref="D446">_xlfn.IFS(CallData[[#This Row],[Duration]]&lt;=15,"Very short",CallData[[#This Row],[Duration]]&lt;=30,"Short",CallData[[#This Row],[Duration]]&lt;=60,"Medium",CallData[[#This Row],[Duration]]&gt;60,"Long")</f>
        <v>Medium</v>
      </c>
      <c r="E446" s="24" t="s">
        <v>31</v>
      </c>
      <c r="F446" s="25">
        <v>45049</v>
      </c>
      <c r="G446" s="26">
        <v>215</v>
      </c>
      <c r="H446" s="26" t="str" cm="1">
        <f t="array" ref="H446">_xlfn.IFS(CallData[[#This Row],[Purchase Amount]]&lt;=50,"Low",CallData[[#This Row],[Purchase Amount]]&lt;=100,"Medium",CallData[[#This Row],[Purchase Amount]]&lt;=150,"High",CallData[[#This Row],[Purchase Amount]]&gt;150,"Very High")</f>
        <v>Very High</v>
      </c>
      <c r="I446" s="23">
        <v>4.3</v>
      </c>
      <c r="J446" s="23">
        <f>IF(MONTH('Call Data'!$F446)&lt;=6, YEAR('Call Data'!$F446), YEAR('Call Data'!$F446)+1)</f>
        <v>2023</v>
      </c>
      <c r="K446" s="23" t="str">
        <f>TEXT('Call Data'!$F446,"DDDD")</f>
        <v>Wednesday</v>
      </c>
      <c r="L446" s="23" t="s">
        <v>27</v>
      </c>
      <c r="M446" s="23">
        <f>ROUND('Call Data'!$I446,0)</f>
        <v>4</v>
      </c>
    </row>
    <row r="447" spans="1:13" ht="14.25" customHeight="1" x14ac:dyDescent="0.35">
      <c r="A447" s="23" t="s">
        <v>481</v>
      </c>
      <c r="B447" s="23" t="s">
        <v>12</v>
      </c>
      <c r="C447" s="23">
        <v>96</v>
      </c>
      <c r="D447" s="24" t="str" cm="1">
        <f t="array" ref="D447">_xlfn.IFS(CallData[[#This Row],[Duration]]&lt;=15,"Very short",CallData[[#This Row],[Duration]]&lt;=30,"Short",CallData[[#This Row],[Duration]]&lt;=60,"Medium",CallData[[#This Row],[Duration]]&gt;60,"Long")</f>
        <v>Long</v>
      </c>
      <c r="E447" s="24" t="s">
        <v>19</v>
      </c>
      <c r="F447" s="25">
        <v>45049</v>
      </c>
      <c r="G447" s="26">
        <v>46</v>
      </c>
      <c r="H447" s="26" t="str" cm="1">
        <f t="array" ref="H447">_xlfn.IFS(CallData[[#This Row],[Purchase Amount]]&lt;=50,"Low",CallData[[#This Row],[Purchase Amount]]&lt;=100,"Medium",CallData[[#This Row],[Purchase Amount]]&lt;=150,"High",CallData[[#This Row],[Purchase Amount]]&gt;150,"Very High")</f>
        <v>Low</v>
      </c>
      <c r="I447" s="23">
        <v>0.7</v>
      </c>
      <c r="J447" s="23">
        <f>IF(MONTH('Call Data'!$F447)&lt;=6, YEAR('Call Data'!$F447), YEAR('Call Data'!$F447)+1)</f>
        <v>2023</v>
      </c>
      <c r="K447" s="23" t="str">
        <f>TEXT('Call Data'!$F447,"DDDD")</f>
        <v>Wednesday</v>
      </c>
      <c r="L447" s="23" t="s">
        <v>14</v>
      </c>
      <c r="M447" s="23">
        <f>ROUND('Call Data'!$I447,0)</f>
        <v>1</v>
      </c>
    </row>
    <row r="448" spans="1:13" ht="14.25" customHeight="1" x14ac:dyDescent="0.35">
      <c r="A448" s="23" t="s">
        <v>482</v>
      </c>
      <c r="B448" s="23" t="s">
        <v>46</v>
      </c>
      <c r="C448" s="23">
        <v>61</v>
      </c>
      <c r="D448" s="24" t="str" cm="1">
        <f t="array" ref="D448">_xlfn.IFS(CallData[[#This Row],[Duration]]&lt;=15,"Very short",CallData[[#This Row],[Duration]]&lt;=30,"Short",CallData[[#This Row],[Duration]]&lt;=60,"Medium",CallData[[#This Row],[Duration]]&gt;60,"Long")</f>
        <v>Long</v>
      </c>
      <c r="E448" s="24" t="s">
        <v>35</v>
      </c>
      <c r="F448" s="25">
        <v>45049</v>
      </c>
      <c r="G448" s="26">
        <v>115</v>
      </c>
      <c r="H448" s="26" t="str" cm="1">
        <f t="array" ref="H448">_xlfn.IFS(CallData[[#This Row],[Purchase Amount]]&lt;=50,"Low",CallData[[#This Row],[Purchase Amount]]&lt;=100,"Medium",CallData[[#This Row],[Purchase Amount]]&lt;=150,"High",CallData[[#This Row],[Purchase Amount]]&gt;150,"Very High")</f>
        <v>High</v>
      </c>
      <c r="I448" s="23">
        <v>3.7</v>
      </c>
      <c r="J448" s="23">
        <f>IF(MONTH('Call Data'!$F448)&lt;=6, YEAR('Call Data'!$F448), YEAR('Call Data'!$F448)+1)</f>
        <v>2023</v>
      </c>
      <c r="K448" s="23" t="str">
        <f>TEXT('Call Data'!$F448,"DDDD")</f>
        <v>Wednesday</v>
      </c>
      <c r="L448" s="23" t="s">
        <v>14</v>
      </c>
      <c r="M448" s="23">
        <f>ROUND('Call Data'!$I448,0)</f>
        <v>4</v>
      </c>
    </row>
    <row r="449" spans="1:13" ht="14.25" customHeight="1" x14ac:dyDescent="0.35">
      <c r="A449" s="23" t="s">
        <v>483</v>
      </c>
      <c r="B449" s="23" t="s">
        <v>12</v>
      </c>
      <c r="C449" s="23">
        <v>91</v>
      </c>
      <c r="D449" s="24" t="str" cm="1">
        <f t="array" ref="D449">_xlfn.IFS(CallData[[#This Row],[Duration]]&lt;=15,"Very short",CallData[[#This Row],[Duration]]&lt;=30,"Short",CallData[[#This Row],[Duration]]&lt;=60,"Medium",CallData[[#This Row],[Duration]]&gt;60,"Long")</f>
        <v>Long</v>
      </c>
      <c r="E449" s="24" t="s">
        <v>35</v>
      </c>
      <c r="F449" s="25">
        <v>45049</v>
      </c>
      <c r="G449" s="26">
        <v>124</v>
      </c>
      <c r="H449" s="26" t="str" cm="1">
        <f t="array" ref="H449">_xlfn.IFS(CallData[[#This Row],[Purchase Amount]]&lt;=50,"Low",CallData[[#This Row],[Purchase Amount]]&lt;=100,"Medium",CallData[[#This Row],[Purchase Amount]]&lt;=150,"High",CallData[[#This Row],[Purchase Amount]]&gt;150,"Very High")</f>
        <v>High</v>
      </c>
      <c r="I449" s="23">
        <v>3.9</v>
      </c>
      <c r="J449" s="23">
        <f>IF(MONTH('Call Data'!$F449)&lt;=6, YEAR('Call Data'!$F449), YEAR('Call Data'!$F449)+1)</f>
        <v>2023</v>
      </c>
      <c r="K449" s="23" t="str">
        <f>TEXT('Call Data'!$F449,"DDDD")</f>
        <v>Wednesday</v>
      </c>
      <c r="L449" s="23" t="s">
        <v>14</v>
      </c>
      <c r="M449" s="23">
        <f>ROUND('Call Data'!$I449,0)</f>
        <v>4</v>
      </c>
    </row>
    <row r="450" spans="1:13" ht="14.25" customHeight="1" x14ac:dyDescent="0.35">
      <c r="A450" s="23" t="s">
        <v>484</v>
      </c>
      <c r="B450" s="23" t="s">
        <v>68</v>
      </c>
      <c r="C450" s="23">
        <v>30</v>
      </c>
      <c r="D450" s="24" t="str" cm="1">
        <f t="array" ref="D450">_xlfn.IFS(CallData[[#This Row],[Duration]]&lt;=15,"Very short",CallData[[#This Row],[Duration]]&lt;=30,"Short",CallData[[#This Row],[Duration]]&lt;=60,"Medium",CallData[[#This Row],[Duration]]&gt;60,"Long")</f>
        <v>Short</v>
      </c>
      <c r="E450" s="24" t="s">
        <v>35</v>
      </c>
      <c r="F450" s="25">
        <v>45050</v>
      </c>
      <c r="G450" s="26">
        <v>205</v>
      </c>
      <c r="H450" s="26" t="str" cm="1">
        <f t="array" ref="H450">_xlfn.IFS(CallData[[#This Row],[Purchase Amount]]&lt;=50,"Low",CallData[[#This Row],[Purchase Amount]]&lt;=100,"Medium",CallData[[#This Row],[Purchase Amount]]&lt;=150,"High",CallData[[#This Row],[Purchase Amount]]&gt;150,"Very High")</f>
        <v>Very High</v>
      </c>
      <c r="I450" s="23">
        <v>4.5</v>
      </c>
      <c r="J450" s="23">
        <f>IF(MONTH('Call Data'!$F450)&lt;=6, YEAR('Call Data'!$F450), YEAR('Call Data'!$F450)+1)</f>
        <v>2023</v>
      </c>
      <c r="K450" s="23" t="str">
        <f>TEXT('Call Data'!$F450,"DDDD")</f>
        <v>Thursday</v>
      </c>
      <c r="L450" s="23" t="s">
        <v>47</v>
      </c>
      <c r="M450" s="23">
        <f>ROUND('Call Data'!$I450,0)</f>
        <v>5</v>
      </c>
    </row>
    <row r="451" spans="1:13" ht="14.25" customHeight="1" x14ac:dyDescent="0.35">
      <c r="A451" s="23" t="s">
        <v>485</v>
      </c>
      <c r="B451" s="23" t="s">
        <v>88</v>
      </c>
      <c r="C451" s="23">
        <v>111</v>
      </c>
      <c r="D451" s="24" t="str" cm="1">
        <f t="array" ref="D451">_xlfn.IFS(CallData[[#This Row],[Duration]]&lt;=15,"Very short",CallData[[#This Row],[Duration]]&lt;=30,"Short",CallData[[#This Row],[Duration]]&lt;=60,"Medium",CallData[[#This Row],[Duration]]&gt;60,"Long")</f>
        <v>Long</v>
      </c>
      <c r="E451" s="24" t="s">
        <v>24</v>
      </c>
      <c r="F451" s="25">
        <v>45050</v>
      </c>
      <c r="G451" s="26">
        <v>90</v>
      </c>
      <c r="H451" s="26" t="str" cm="1">
        <f t="array" ref="H451">_xlfn.IFS(CallData[[#This Row],[Purchase Amount]]&lt;=50,"Low",CallData[[#This Row],[Purchase Amount]]&lt;=100,"Medium",CallData[[#This Row],[Purchase Amount]]&lt;=150,"High",CallData[[#This Row],[Purchase Amount]]&gt;150,"Very High")</f>
        <v>Medium</v>
      </c>
      <c r="I451" s="23">
        <v>2.8</v>
      </c>
      <c r="J451" s="23">
        <f>IF(MONTH('Call Data'!$F451)&lt;=6, YEAR('Call Data'!$F451), YEAR('Call Data'!$F451)+1)</f>
        <v>2023</v>
      </c>
      <c r="K451" s="23" t="str">
        <f>TEXT('Call Data'!$F451,"DDDD")</f>
        <v>Thursday</v>
      </c>
      <c r="L451" s="23" t="s">
        <v>14</v>
      </c>
      <c r="M451" s="23">
        <f>ROUND('Call Data'!$I451,0)</f>
        <v>3</v>
      </c>
    </row>
    <row r="452" spans="1:13" ht="14.25" customHeight="1" x14ac:dyDescent="0.35">
      <c r="A452" s="23" t="s">
        <v>486</v>
      </c>
      <c r="B452" s="23" t="s">
        <v>46</v>
      </c>
      <c r="C452" s="23">
        <v>81</v>
      </c>
      <c r="D452" s="24" t="str" cm="1">
        <f t="array" ref="D452">_xlfn.IFS(CallData[[#This Row],[Duration]]&lt;=15,"Very short",CallData[[#This Row],[Duration]]&lt;=30,"Short",CallData[[#This Row],[Duration]]&lt;=60,"Medium",CallData[[#This Row],[Duration]]&gt;60,"Long")</f>
        <v>Long</v>
      </c>
      <c r="E452" s="24" t="s">
        <v>19</v>
      </c>
      <c r="F452" s="25">
        <v>45050</v>
      </c>
      <c r="G452" s="26">
        <v>92</v>
      </c>
      <c r="H452" s="26" t="str" cm="1">
        <f t="array" ref="H452">_xlfn.IFS(CallData[[#This Row],[Purchase Amount]]&lt;=50,"Low",CallData[[#This Row],[Purchase Amount]]&lt;=100,"Medium",CallData[[#This Row],[Purchase Amount]]&lt;=150,"High",CallData[[#This Row],[Purchase Amount]]&gt;150,"Very High")</f>
        <v>Medium</v>
      </c>
      <c r="I452" s="23">
        <v>4.9000000000000004</v>
      </c>
      <c r="J452" s="23">
        <f>IF(MONTH('Call Data'!$F452)&lt;=6, YEAR('Call Data'!$F452), YEAR('Call Data'!$F452)+1)</f>
        <v>2023</v>
      </c>
      <c r="K452" s="23" t="str">
        <f>TEXT('Call Data'!$F452,"DDDD")</f>
        <v>Thursday</v>
      </c>
      <c r="L452" s="23" t="s">
        <v>14</v>
      </c>
      <c r="M452" s="23">
        <f>ROUND('Call Data'!$I452,0)</f>
        <v>5</v>
      </c>
    </row>
    <row r="453" spans="1:13" ht="14.25" customHeight="1" x14ac:dyDescent="0.35">
      <c r="A453" s="23" t="s">
        <v>487</v>
      </c>
      <c r="B453" s="23" t="s">
        <v>40</v>
      </c>
      <c r="C453" s="23">
        <v>40</v>
      </c>
      <c r="D453" s="24" t="str" cm="1">
        <f t="array" ref="D453">_xlfn.IFS(CallData[[#This Row],[Duration]]&lt;=15,"Very short",CallData[[#This Row],[Duration]]&lt;=30,"Short",CallData[[#This Row],[Duration]]&lt;=60,"Medium",CallData[[#This Row],[Duration]]&gt;60,"Long")</f>
        <v>Medium</v>
      </c>
      <c r="E453" s="24" t="s">
        <v>31</v>
      </c>
      <c r="F453" s="25">
        <v>45052</v>
      </c>
      <c r="G453" s="26">
        <v>108</v>
      </c>
      <c r="H453" s="26" t="str" cm="1">
        <f t="array" ref="H453">_xlfn.IFS(CallData[[#This Row],[Purchase Amount]]&lt;=50,"Low",CallData[[#This Row],[Purchase Amount]]&lt;=100,"Medium",CallData[[#This Row],[Purchase Amount]]&lt;=150,"High",CallData[[#This Row],[Purchase Amount]]&gt;150,"Very High")</f>
        <v>High</v>
      </c>
      <c r="I453" s="23">
        <v>4.2</v>
      </c>
      <c r="J453" s="23">
        <f>IF(MONTH('Call Data'!$F453)&lt;=6, YEAR('Call Data'!$F453), YEAR('Call Data'!$F453)+1)</f>
        <v>2023</v>
      </c>
      <c r="K453" s="23" t="str">
        <f>TEXT('Call Data'!$F453,"DDDD")</f>
        <v>Saturday</v>
      </c>
      <c r="L453" s="23" t="s">
        <v>27</v>
      </c>
      <c r="M453" s="23">
        <f>ROUND('Call Data'!$I453,0)</f>
        <v>4</v>
      </c>
    </row>
    <row r="454" spans="1:13" ht="14.25" customHeight="1" x14ac:dyDescent="0.35">
      <c r="A454" s="23" t="s">
        <v>488</v>
      </c>
      <c r="B454" s="23" t="s">
        <v>88</v>
      </c>
      <c r="C454" s="23">
        <v>143</v>
      </c>
      <c r="D454" s="24" t="str" cm="1">
        <f t="array" ref="D454">_xlfn.IFS(CallData[[#This Row],[Duration]]&lt;=15,"Very short",CallData[[#This Row],[Duration]]&lt;=30,"Short",CallData[[#This Row],[Duration]]&lt;=60,"Medium",CallData[[#This Row],[Duration]]&gt;60,"Long")</f>
        <v>Long</v>
      </c>
      <c r="E454" s="24" t="s">
        <v>31</v>
      </c>
      <c r="F454" s="25">
        <v>45052</v>
      </c>
      <c r="G454" s="26">
        <v>54</v>
      </c>
      <c r="H454" s="26" t="str" cm="1">
        <f t="array" ref="H454">_xlfn.IFS(CallData[[#This Row],[Purchase Amount]]&lt;=50,"Low",CallData[[#This Row],[Purchase Amount]]&lt;=100,"Medium",CallData[[#This Row],[Purchase Amount]]&lt;=150,"High",CallData[[#This Row],[Purchase Amount]]&gt;150,"Very High")</f>
        <v>Medium</v>
      </c>
      <c r="I454" s="23">
        <v>4.4000000000000004</v>
      </c>
      <c r="J454" s="23">
        <f>IF(MONTH('Call Data'!$F454)&lt;=6, YEAR('Call Data'!$F454), YEAR('Call Data'!$F454)+1)</f>
        <v>2023</v>
      </c>
      <c r="K454" s="23" t="str">
        <f>TEXT('Call Data'!$F454,"DDDD")</f>
        <v>Saturday</v>
      </c>
      <c r="L454" s="23" t="s">
        <v>25</v>
      </c>
      <c r="M454" s="23">
        <f>ROUND('Call Data'!$I454,0)</f>
        <v>4</v>
      </c>
    </row>
    <row r="455" spans="1:13" ht="14.25" customHeight="1" x14ac:dyDescent="0.35">
      <c r="A455" s="23" t="s">
        <v>489</v>
      </c>
      <c r="B455" s="23" t="s">
        <v>40</v>
      </c>
      <c r="C455" s="23">
        <v>70</v>
      </c>
      <c r="D455" s="24" t="str" cm="1">
        <f t="array" ref="D455">_xlfn.IFS(CallData[[#This Row],[Duration]]&lt;=15,"Very short",CallData[[#This Row],[Duration]]&lt;=30,"Short",CallData[[#This Row],[Duration]]&lt;=60,"Medium",CallData[[#This Row],[Duration]]&gt;60,"Long")</f>
        <v>Long</v>
      </c>
      <c r="E455" s="24" t="s">
        <v>31</v>
      </c>
      <c r="F455" s="25">
        <v>45053</v>
      </c>
      <c r="G455" s="26">
        <v>44</v>
      </c>
      <c r="H455" s="26" t="str" cm="1">
        <f t="array" ref="H455">_xlfn.IFS(CallData[[#This Row],[Purchase Amount]]&lt;=50,"Low",CallData[[#This Row],[Purchase Amount]]&lt;=100,"Medium",CallData[[#This Row],[Purchase Amount]]&lt;=150,"High",CallData[[#This Row],[Purchase Amount]]&gt;150,"Very High")</f>
        <v>Low</v>
      </c>
      <c r="I455" s="23">
        <v>3.5</v>
      </c>
      <c r="J455" s="23">
        <f>IF(MONTH('Call Data'!$F455)&lt;=6, YEAR('Call Data'!$F455), YEAR('Call Data'!$F455)+1)</f>
        <v>2023</v>
      </c>
      <c r="K455" s="23" t="str">
        <f>TEXT('Call Data'!$F455,"DDDD")</f>
        <v>Sunday</v>
      </c>
      <c r="L455" s="23" t="s">
        <v>14</v>
      </c>
      <c r="M455" s="23">
        <f>ROUND('Call Data'!$I455,0)</f>
        <v>4</v>
      </c>
    </row>
    <row r="456" spans="1:13" ht="14.25" customHeight="1" x14ac:dyDescent="0.35">
      <c r="A456" s="23" t="s">
        <v>490</v>
      </c>
      <c r="B456" s="23" t="s">
        <v>55</v>
      </c>
      <c r="C456" s="23">
        <v>137</v>
      </c>
      <c r="D456" s="24" t="str" cm="1">
        <f t="array" ref="D456">_xlfn.IFS(CallData[[#This Row],[Duration]]&lt;=15,"Very short",CallData[[#This Row],[Duration]]&lt;=30,"Short",CallData[[#This Row],[Duration]]&lt;=60,"Medium",CallData[[#This Row],[Duration]]&gt;60,"Long")</f>
        <v>Long</v>
      </c>
      <c r="E456" s="24" t="s">
        <v>31</v>
      </c>
      <c r="F456" s="25">
        <v>45053</v>
      </c>
      <c r="G456" s="26">
        <v>44</v>
      </c>
      <c r="H456" s="26" t="str" cm="1">
        <f t="array" ref="H456">_xlfn.IFS(CallData[[#This Row],[Purchase Amount]]&lt;=50,"Low",CallData[[#This Row],[Purchase Amount]]&lt;=100,"Medium",CallData[[#This Row],[Purchase Amount]]&lt;=150,"High",CallData[[#This Row],[Purchase Amount]]&gt;150,"Very High")</f>
        <v>Low</v>
      </c>
      <c r="I456" s="23">
        <v>4.7</v>
      </c>
      <c r="J456" s="23">
        <f>IF(MONTH('Call Data'!$F456)&lt;=6, YEAR('Call Data'!$F456), YEAR('Call Data'!$F456)+1)</f>
        <v>2023</v>
      </c>
      <c r="K456" s="23" t="str">
        <f>TEXT('Call Data'!$F456,"DDDD")</f>
        <v>Sunday</v>
      </c>
      <c r="L456" s="23" t="s">
        <v>25</v>
      </c>
      <c r="M456" s="23">
        <f>ROUND('Call Data'!$I456,0)</f>
        <v>5</v>
      </c>
    </row>
    <row r="457" spans="1:13" ht="14.25" customHeight="1" x14ac:dyDescent="0.35">
      <c r="A457" s="23" t="s">
        <v>491</v>
      </c>
      <c r="B457" s="23" t="s">
        <v>12</v>
      </c>
      <c r="C457" s="23">
        <v>52</v>
      </c>
      <c r="D457" s="24" t="str" cm="1">
        <f t="array" ref="D457">_xlfn.IFS(CallData[[#This Row],[Duration]]&lt;=15,"Very short",CallData[[#This Row],[Duration]]&lt;=30,"Short",CallData[[#This Row],[Duration]]&lt;=60,"Medium",CallData[[#This Row],[Duration]]&gt;60,"Long")</f>
        <v>Medium</v>
      </c>
      <c r="E457" s="24" t="s">
        <v>19</v>
      </c>
      <c r="F457" s="25">
        <v>45054</v>
      </c>
      <c r="G457" s="26">
        <v>37</v>
      </c>
      <c r="H457" s="26" t="str" cm="1">
        <f t="array" ref="H457">_xlfn.IFS(CallData[[#This Row],[Purchase Amount]]&lt;=50,"Low",CallData[[#This Row],[Purchase Amount]]&lt;=100,"Medium",CallData[[#This Row],[Purchase Amount]]&lt;=150,"High",CallData[[#This Row],[Purchase Amount]]&gt;150,"Very High")</f>
        <v>Low</v>
      </c>
      <c r="I457" s="23">
        <v>4.9000000000000004</v>
      </c>
      <c r="J457" s="23">
        <f>IF(MONTH('Call Data'!$F457)&lt;=6, YEAR('Call Data'!$F457), YEAR('Call Data'!$F457)+1)</f>
        <v>2023</v>
      </c>
      <c r="K457" s="23" t="str">
        <f>TEXT('Call Data'!$F457,"DDDD")</f>
        <v>Monday</v>
      </c>
      <c r="L457" s="23" t="s">
        <v>27</v>
      </c>
      <c r="M457" s="23">
        <f>ROUND('Call Data'!$I457,0)</f>
        <v>5</v>
      </c>
    </row>
    <row r="458" spans="1:13" ht="14.25" customHeight="1" x14ac:dyDescent="0.35">
      <c r="A458" s="23" t="s">
        <v>492</v>
      </c>
      <c r="B458" s="23" t="s">
        <v>16</v>
      </c>
      <c r="C458" s="23">
        <v>31</v>
      </c>
      <c r="D458" s="24" t="str" cm="1">
        <f t="array" ref="D458">_xlfn.IFS(CallData[[#This Row],[Duration]]&lt;=15,"Very short",CallData[[#This Row],[Duration]]&lt;=30,"Short",CallData[[#This Row],[Duration]]&lt;=60,"Medium",CallData[[#This Row],[Duration]]&gt;60,"Long")</f>
        <v>Medium</v>
      </c>
      <c r="E458" s="24" t="s">
        <v>24</v>
      </c>
      <c r="F458" s="25">
        <v>45054</v>
      </c>
      <c r="G458" s="26">
        <v>180</v>
      </c>
      <c r="H458" s="26" t="str" cm="1">
        <f t="array" ref="H458">_xlfn.IFS(CallData[[#This Row],[Purchase Amount]]&lt;=50,"Low",CallData[[#This Row],[Purchase Amount]]&lt;=100,"Medium",CallData[[#This Row],[Purchase Amount]]&lt;=150,"High",CallData[[#This Row],[Purchase Amount]]&gt;150,"Very High")</f>
        <v>Very High</v>
      </c>
      <c r="I458" s="23">
        <v>4.5</v>
      </c>
      <c r="J458" s="23">
        <f>IF(MONTH('Call Data'!$F458)&lt;=6, YEAR('Call Data'!$F458), YEAR('Call Data'!$F458)+1)</f>
        <v>2023</v>
      </c>
      <c r="K458" s="23" t="str">
        <f>TEXT('Call Data'!$F458,"DDDD")</f>
        <v>Monday</v>
      </c>
      <c r="L458" s="23" t="s">
        <v>27</v>
      </c>
      <c r="M458" s="23">
        <f>ROUND('Call Data'!$I458,0)</f>
        <v>5</v>
      </c>
    </row>
    <row r="459" spans="1:13" ht="14.25" customHeight="1" x14ac:dyDescent="0.35">
      <c r="A459" s="23" t="s">
        <v>493</v>
      </c>
      <c r="B459" s="23" t="s">
        <v>12</v>
      </c>
      <c r="C459" s="23">
        <v>114</v>
      </c>
      <c r="D459" s="24" t="str" cm="1">
        <f t="array" ref="D459">_xlfn.IFS(CallData[[#This Row],[Duration]]&lt;=15,"Very short",CallData[[#This Row],[Duration]]&lt;=30,"Short",CallData[[#This Row],[Duration]]&lt;=60,"Medium",CallData[[#This Row],[Duration]]&gt;60,"Long")</f>
        <v>Long</v>
      </c>
      <c r="E459" s="24" t="s">
        <v>35</v>
      </c>
      <c r="F459" s="25">
        <v>45054</v>
      </c>
      <c r="G459" s="26">
        <v>105</v>
      </c>
      <c r="H459" s="26" t="str" cm="1">
        <f t="array" ref="H459">_xlfn.IFS(CallData[[#This Row],[Purchase Amount]]&lt;=50,"Low",CallData[[#This Row],[Purchase Amount]]&lt;=100,"Medium",CallData[[#This Row],[Purchase Amount]]&lt;=150,"High",CallData[[#This Row],[Purchase Amount]]&gt;150,"Very High")</f>
        <v>High</v>
      </c>
      <c r="I459" s="23">
        <v>4.9000000000000004</v>
      </c>
      <c r="J459" s="23">
        <f>IF(MONTH('Call Data'!$F459)&lt;=6, YEAR('Call Data'!$F459), YEAR('Call Data'!$F459)+1)</f>
        <v>2023</v>
      </c>
      <c r="K459" s="23" t="str">
        <f>TEXT('Call Data'!$F459,"DDDD")</f>
        <v>Monday</v>
      </c>
      <c r="L459" s="23" t="s">
        <v>14</v>
      </c>
      <c r="M459" s="23">
        <f>ROUND('Call Data'!$I459,0)</f>
        <v>5</v>
      </c>
    </row>
    <row r="460" spans="1:13" ht="14.25" customHeight="1" x14ac:dyDescent="0.35">
      <c r="A460" s="23" t="s">
        <v>494</v>
      </c>
      <c r="B460" s="23" t="s">
        <v>55</v>
      </c>
      <c r="C460" s="23">
        <v>73</v>
      </c>
      <c r="D460" s="24" t="str" cm="1">
        <f t="array" ref="D460">_xlfn.IFS(CallData[[#This Row],[Duration]]&lt;=15,"Very short",CallData[[#This Row],[Duration]]&lt;=30,"Short",CallData[[#This Row],[Duration]]&lt;=60,"Medium",CallData[[#This Row],[Duration]]&gt;60,"Long")</f>
        <v>Long</v>
      </c>
      <c r="E460" s="24" t="s">
        <v>13</v>
      </c>
      <c r="F460" s="25">
        <v>45054</v>
      </c>
      <c r="G460" s="26">
        <v>87</v>
      </c>
      <c r="H460" s="26" t="str" cm="1">
        <f t="array" ref="H460">_xlfn.IFS(CallData[[#This Row],[Purchase Amount]]&lt;=50,"Low",CallData[[#This Row],[Purchase Amount]]&lt;=100,"Medium",CallData[[#This Row],[Purchase Amount]]&lt;=150,"High",CallData[[#This Row],[Purchase Amount]]&gt;150,"Very High")</f>
        <v>Medium</v>
      </c>
      <c r="I460" s="23">
        <v>3.6</v>
      </c>
      <c r="J460" s="23">
        <f>IF(MONTH('Call Data'!$F460)&lt;=6, YEAR('Call Data'!$F460), YEAR('Call Data'!$F460)+1)</f>
        <v>2023</v>
      </c>
      <c r="K460" s="23" t="str">
        <f>TEXT('Call Data'!$F460,"DDDD")</f>
        <v>Monday</v>
      </c>
      <c r="L460" s="23" t="s">
        <v>14</v>
      </c>
      <c r="M460" s="23">
        <f>ROUND('Call Data'!$I460,0)</f>
        <v>4</v>
      </c>
    </row>
    <row r="461" spans="1:13" ht="14.25" customHeight="1" x14ac:dyDescent="0.35">
      <c r="A461" s="23" t="s">
        <v>495</v>
      </c>
      <c r="B461" s="23" t="s">
        <v>46</v>
      </c>
      <c r="C461" s="23">
        <v>25</v>
      </c>
      <c r="D461" s="24" t="str" cm="1">
        <f t="array" ref="D461">_xlfn.IFS(CallData[[#This Row],[Duration]]&lt;=15,"Very short",CallData[[#This Row],[Duration]]&lt;=30,"Short",CallData[[#This Row],[Duration]]&lt;=60,"Medium",CallData[[#This Row],[Duration]]&gt;60,"Long")</f>
        <v>Short</v>
      </c>
      <c r="E461" s="24" t="s">
        <v>24</v>
      </c>
      <c r="F461" s="25">
        <v>45054</v>
      </c>
      <c r="G461" s="26">
        <v>52</v>
      </c>
      <c r="H461" s="26" t="str" cm="1">
        <f t="array" ref="H461">_xlfn.IFS(CallData[[#This Row],[Purchase Amount]]&lt;=50,"Low",CallData[[#This Row],[Purchase Amount]]&lt;=100,"Medium",CallData[[#This Row],[Purchase Amount]]&lt;=150,"High",CallData[[#This Row],[Purchase Amount]]&gt;150,"Very High")</f>
        <v>Medium</v>
      </c>
      <c r="I461" s="23">
        <v>3.8</v>
      </c>
      <c r="J461" s="23">
        <f>IF(MONTH('Call Data'!$F461)&lt;=6, YEAR('Call Data'!$F461), YEAR('Call Data'!$F461)+1)</f>
        <v>2023</v>
      </c>
      <c r="K461" s="23" t="str">
        <f>TEXT('Call Data'!$F461,"DDDD")</f>
        <v>Monday</v>
      </c>
      <c r="L461" s="23" t="s">
        <v>47</v>
      </c>
      <c r="M461" s="23">
        <f>ROUND('Call Data'!$I461,0)</f>
        <v>4</v>
      </c>
    </row>
    <row r="462" spans="1:13" ht="14.25" customHeight="1" x14ac:dyDescent="0.35">
      <c r="A462" s="23" t="s">
        <v>496</v>
      </c>
      <c r="B462" s="23" t="s">
        <v>23</v>
      </c>
      <c r="C462" s="23">
        <v>44</v>
      </c>
      <c r="D462" s="24" t="str" cm="1">
        <f t="array" ref="D462">_xlfn.IFS(CallData[[#This Row],[Duration]]&lt;=15,"Very short",CallData[[#This Row],[Duration]]&lt;=30,"Short",CallData[[#This Row],[Duration]]&lt;=60,"Medium",CallData[[#This Row],[Duration]]&gt;60,"Long")</f>
        <v>Medium</v>
      </c>
      <c r="E462" s="24" t="s">
        <v>35</v>
      </c>
      <c r="F462" s="25">
        <v>45054</v>
      </c>
      <c r="G462" s="26">
        <v>63</v>
      </c>
      <c r="H462" s="26" t="str" cm="1">
        <f t="array" ref="H462">_xlfn.IFS(CallData[[#This Row],[Purchase Amount]]&lt;=50,"Low",CallData[[#This Row],[Purchase Amount]]&lt;=100,"Medium",CallData[[#This Row],[Purchase Amount]]&lt;=150,"High",CallData[[#This Row],[Purchase Amount]]&gt;150,"Very High")</f>
        <v>Medium</v>
      </c>
      <c r="I462" s="23">
        <v>3.5</v>
      </c>
      <c r="J462" s="23">
        <f>IF(MONTH('Call Data'!$F462)&lt;=6, YEAR('Call Data'!$F462), YEAR('Call Data'!$F462)+1)</f>
        <v>2023</v>
      </c>
      <c r="K462" s="23" t="str">
        <f>TEXT('Call Data'!$F462,"DDDD")</f>
        <v>Monday</v>
      </c>
      <c r="L462" s="23" t="s">
        <v>27</v>
      </c>
      <c r="M462" s="23">
        <f>ROUND('Call Data'!$I462,0)</f>
        <v>4</v>
      </c>
    </row>
    <row r="463" spans="1:13" ht="14.25" customHeight="1" x14ac:dyDescent="0.35">
      <c r="A463" s="23" t="s">
        <v>497</v>
      </c>
      <c r="B463" s="23" t="s">
        <v>50</v>
      </c>
      <c r="C463" s="23">
        <v>34</v>
      </c>
      <c r="D463" s="24" t="str" cm="1">
        <f t="array" ref="D463">_xlfn.IFS(CallData[[#This Row],[Duration]]&lt;=15,"Very short",CallData[[#This Row],[Duration]]&lt;=30,"Short",CallData[[#This Row],[Duration]]&lt;=60,"Medium",CallData[[#This Row],[Duration]]&gt;60,"Long")</f>
        <v>Medium</v>
      </c>
      <c r="E463" s="24" t="s">
        <v>19</v>
      </c>
      <c r="F463" s="25">
        <v>45055</v>
      </c>
      <c r="G463" s="26">
        <v>195</v>
      </c>
      <c r="H463" s="26" t="str" cm="1">
        <f t="array" ref="H463">_xlfn.IFS(CallData[[#This Row],[Purchase Amount]]&lt;=50,"Low",CallData[[#This Row],[Purchase Amount]]&lt;=100,"Medium",CallData[[#This Row],[Purchase Amount]]&lt;=150,"High",CallData[[#This Row],[Purchase Amount]]&gt;150,"Very High")</f>
        <v>Very High</v>
      </c>
      <c r="I463" s="23">
        <v>4.8</v>
      </c>
      <c r="J463" s="23">
        <f>IF(MONTH('Call Data'!$F463)&lt;=6, YEAR('Call Data'!$F463), YEAR('Call Data'!$F463)+1)</f>
        <v>2023</v>
      </c>
      <c r="K463" s="23" t="str">
        <f>TEXT('Call Data'!$F463,"DDDD")</f>
        <v>Tuesday</v>
      </c>
      <c r="L463" s="23" t="s">
        <v>27</v>
      </c>
      <c r="M463" s="23">
        <f>ROUND('Call Data'!$I463,0)</f>
        <v>5</v>
      </c>
    </row>
    <row r="464" spans="1:13" ht="14.25" customHeight="1" x14ac:dyDescent="0.35">
      <c r="A464" s="23" t="s">
        <v>498</v>
      </c>
      <c r="B464" s="23" t="s">
        <v>88</v>
      </c>
      <c r="C464" s="23">
        <v>89</v>
      </c>
      <c r="D464" s="24" t="str" cm="1">
        <f t="array" ref="D464">_xlfn.IFS(CallData[[#This Row],[Duration]]&lt;=15,"Very short",CallData[[#This Row],[Duration]]&lt;=30,"Short",CallData[[#This Row],[Duration]]&lt;=60,"Medium",CallData[[#This Row],[Duration]]&gt;60,"Long")</f>
        <v>Long</v>
      </c>
      <c r="E464" s="24" t="s">
        <v>31</v>
      </c>
      <c r="F464" s="25">
        <v>45056</v>
      </c>
      <c r="G464" s="26">
        <v>176</v>
      </c>
      <c r="H464" s="26" t="str" cm="1">
        <f t="array" ref="H464">_xlfn.IFS(CallData[[#This Row],[Purchase Amount]]&lt;=50,"Low",CallData[[#This Row],[Purchase Amount]]&lt;=100,"Medium",CallData[[#This Row],[Purchase Amount]]&lt;=150,"High",CallData[[#This Row],[Purchase Amount]]&gt;150,"Very High")</f>
        <v>Very High</v>
      </c>
      <c r="I464" s="23">
        <v>4.5</v>
      </c>
      <c r="J464" s="23">
        <f>IF(MONTH('Call Data'!$F464)&lt;=6, YEAR('Call Data'!$F464), YEAR('Call Data'!$F464)+1)</f>
        <v>2023</v>
      </c>
      <c r="K464" s="23" t="str">
        <f>TEXT('Call Data'!$F464,"DDDD")</f>
        <v>Wednesday</v>
      </c>
      <c r="L464" s="23" t="s">
        <v>14</v>
      </c>
      <c r="M464" s="23">
        <f>ROUND('Call Data'!$I464,0)</f>
        <v>5</v>
      </c>
    </row>
    <row r="465" spans="1:13" ht="14.25" customHeight="1" x14ac:dyDescent="0.35">
      <c r="A465" s="23" t="s">
        <v>499</v>
      </c>
      <c r="B465" s="23" t="s">
        <v>34</v>
      </c>
      <c r="C465" s="23">
        <v>54</v>
      </c>
      <c r="D465" s="24" t="str" cm="1">
        <f t="array" ref="D465">_xlfn.IFS(CallData[[#This Row],[Duration]]&lt;=15,"Very short",CallData[[#This Row],[Duration]]&lt;=30,"Short",CallData[[#This Row],[Duration]]&lt;=60,"Medium",CallData[[#This Row],[Duration]]&gt;60,"Long")</f>
        <v>Medium</v>
      </c>
      <c r="E465" s="24" t="s">
        <v>24</v>
      </c>
      <c r="F465" s="25">
        <v>45057</v>
      </c>
      <c r="G465" s="26">
        <v>31</v>
      </c>
      <c r="H465" s="26" t="str" cm="1">
        <f t="array" ref="H465">_xlfn.IFS(CallData[[#This Row],[Purchase Amount]]&lt;=50,"Low",CallData[[#This Row],[Purchase Amount]]&lt;=100,"Medium",CallData[[#This Row],[Purchase Amount]]&lt;=150,"High",CallData[[#This Row],[Purchase Amount]]&gt;150,"Very High")</f>
        <v>Low</v>
      </c>
      <c r="I465" s="23">
        <v>3.3</v>
      </c>
      <c r="J465" s="23">
        <f>IF(MONTH('Call Data'!$F465)&lt;=6, YEAR('Call Data'!$F465), YEAR('Call Data'!$F465)+1)</f>
        <v>2023</v>
      </c>
      <c r="K465" s="23" t="str">
        <f>TEXT('Call Data'!$F465,"DDDD")</f>
        <v>Thursday</v>
      </c>
      <c r="L465" s="23" t="s">
        <v>27</v>
      </c>
      <c r="M465" s="23">
        <f>ROUND('Call Data'!$I465,0)</f>
        <v>3</v>
      </c>
    </row>
    <row r="466" spans="1:13" ht="14.25" customHeight="1" x14ac:dyDescent="0.35">
      <c r="A466" s="23" t="s">
        <v>500</v>
      </c>
      <c r="B466" s="23" t="s">
        <v>18</v>
      </c>
      <c r="C466" s="23">
        <v>25</v>
      </c>
      <c r="D466" s="24" t="str" cm="1">
        <f t="array" ref="D466">_xlfn.IFS(CallData[[#This Row],[Duration]]&lt;=15,"Very short",CallData[[#This Row],[Duration]]&lt;=30,"Short",CallData[[#This Row],[Duration]]&lt;=60,"Medium",CallData[[#This Row],[Duration]]&gt;60,"Long")</f>
        <v>Short</v>
      </c>
      <c r="E466" s="24" t="s">
        <v>24</v>
      </c>
      <c r="F466" s="25">
        <v>45058</v>
      </c>
      <c r="G466" s="26">
        <v>27</v>
      </c>
      <c r="H466" s="26" t="str" cm="1">
        <f t="array" ref="H466">_xlfn.IFS(CallData[[#This Row],[Purchase Amount]]&lt;=50,"Low",CallData[[#This Row],[Purchase Amount]]&lt;=100,"Medium",CallData[[#This Row],[Purchase Amount]]&lt;=150,"High",CallData[[#This Row],[Purchase Amount]]&gt;150,"Very High")</f>
        <v>Low</v>
      </c>
      <c r="I466" s="23">
        <v>3.2</v>
      </c>
      <c r="J466" s="23">
        <f>IF(MONTH('Call Data'!$F466)&lt;=6, YEAR('Call Data'!$F466), YEAR('Call Data'!$F466)+1)</f>
        <v>2023</v>
      </c>
      <c r="K466" s="23" t="str">
        <f>TEXT('Call Data'!$F466,"DDDD")</f>
        <v>Friday</v>
      </c>
      <c r="L466" s="23" t="s">
        <v>47</v>
      </c>
      <c r="M466" s="23">
        <f>ROUND('Call Data'!$I466,0)</f>
        <v>3</v>
      </c>
    </row>
    <row r="467" spans="1:13" ht="14.25" customHeight="1" x14ac:dyDescent="0.35">
      <c r="A467" s="23" t="s">
        <v>501</v>
      </c>
      <c r="B467" s="23" t="s">
        <v>38</v>
      </c>
      <c r="C467" s="23">
        <v>91</v>
      </c>
      <c r="D467" s="24" t="str" cm="1">
        <f t="array" ref="D467">_xlfn.IFS(CallData[[#This Row],[Duration]]&lt;=15,"Very short",CallData[[#This Row],[Duration]]&lt;=30,"Short",CallData[[#This Row],[Duration]]&lt;=60,"Medium",CallData[[#This Row],[Duration]]&gt;60,"Long")</f>
        <v>Long</v>
      </c>
      <c r="E467" s="24" t="s">
        <v>31</v>
      </c>
      <c r="F467" s="25">
        <v>45058</v>
      </c>
      <c r="G467" s="26">
        <v>76</v>
      </c>
      <c r="H467" s="26" t="str" cm="1">
        <f t="array" ref="H467">_xlfn.IFS(CallData[[#This Row],[Purchase Amount]]&lt;=50,"Low",CallData[[#This Row],[Purchase Amount]]&lt;=100,"Medium",CallData[[#This Row],[Purchase Amount]]&lt;=150,"High",CallData[[#This Row],[Purchase Amount]]&gt;150,"Very High")</f>
        <v>Medium</v>
      </c>
      <c r="I467" s="23">
        <v>4.9000000000000004</v>
      </c>
      <c r="J467" s="23">
        <f>IF(MONTH('Call Data'!$F467)&lt;=6, YEAR('Call Data'!$F467), YEAR('Call Data'!$F467)+1)</f>
        <v>2023</v>
      </c>
      <c r="K467" s="23" t="str">
        <f>TEXT('Call Data'!$F467,"DDDD")</f>
        <v>Friday</v>
      </c>
      <c r="L467" s="23" t="s">
        <v>14</v>
      </c>
      <c r="M467" s="23">
        <f>ROUND('Call Data'!$I467,0)</f>
        <v>5</v>
      </c>
    </row>
    <row r="468" spans="1:13" ht="14.25" customHeight="1" x14ac:dyDescent="0.35">
      <c r="A468" s="23" t="s">
        <v>502</v>
      </c>
      <c r="B468" s="23" t="s">
        <v>23</v>
      </c>
      <c r="C468" s="23">
        <v>144</v>
      </c>
      <c r="D468" s="24" t="str" cm="1">
        <f t="array" ref="D468">_xlfn.IFS(CallData[[#This Row],[Duration]]&lt;=15,"Very short",CallData[[#This Row],[Duration]]&lt;=30,"Short",CallData[[#This Row],[Duration]]&lt;=60,"Medium",CallData[[#This Row],[Duration]]&gt;60,"Long")</f>
        <v>Long</v>
      </c>
      <c r="E468" s="24" t="s">
        <v>35</v>
      </c>
      <c r="F468" s="25">
        <v>45058</v>
      </c>
      <c r="G468" s="26">
        <v>62</v>
      </c>
      <c r="H468" s="26" t="str" cm="1">
        <f t="array" ref="H468">_xlfn.IFS(CallData[[#This Row],[Purchase Amount]]&lt;=50,"Low",CallData[[#This Row],[Purchase Amount]]&lt;=100,"Medium",CallData[[#This Row],[Purchase Amount]]&lt;=150,"High",CallData[[#This Row],[Purchase Amount]]&gt;150,"Very High")</f>
        <v>Medium</v>
      </c>
      <c r="I468" s="23">
        <v>4.8</v>
      </c>
      <c r="J468" s="23">
        <f>IF(MONTH('Call Data'!$F468)&lt;=6, YEAR('Call Data'!$F468), YEAR('Call Data'!$F468)+1)</f>
        <v>2023</v>
      </c>
      <c r="K468" s="23" t="str">
        <f>TEXT('Call Data'!$F468,"DDDD")</f>
        <v>Friday</v>
      </c>
      <c r="L468" s="23" t="s">
        <v>25</v>
      </c>
      <c r="M468" s="23">
        <f>ROUND('Call Data'!$I468,0)</f>
        <v>5</v>
      </c>
    </row>
    <row r="469" spans="1:13" ht="14.25" customHeight="1" x14ac:dyDescent="0.35">
      <c r="A469" s="23" t="s">
        <v>503</v>
      </c>
      <c r="B469" s="23" t="s">
        <v>38</v>
      </c>
      <c r="C469" s="23">
        <v>81</v>
      </c>
      <c r="D469" s="24" t="str" cm="1">
        <f t="array" ref="D469">_xlfn.IFS(CallData[[#This Row],[Duration]]&lt;=15,"Very short",CallData[[#This Row],[Duration]]&lt;=30,"Short",CallData[[#This Row],[Duration]]&lt;=60,"Medium",CallData[[#This Row],[Duration]]&gt;60,"Long")</f>
        <v>Long</v>
      </c>
      <c r="E469" s="24" t="s">
        <v>19</v>
      </c>
      <c r="F469" s="25">
        <v>45060</v>
      </c>
      <c r="G469" s="26">
        <v>100</v>
      </c>
      <c r="H469" s="26" t="str" cm="1">
        <f t="array" ref="H469">_xlfn.IFS(CallData[[#This Row],[Purchase Amount]]&lt;=50,"Low",CallData[[#This Row],[Purchase Amount]]&lt;=100,"Medium",CallData[[#This Row],[Purchase Amount]]&lt;=150,"High",CallData[[#This Row],[Purchase Amount]]&gt;150,"Very High")</f>
        <v>Medium</v>
      </c>
      <c r="I469" s="23">
        <v>1.3</v>
      </c>
      <c r="J469" s="23">
        <f>IF(MONTH('Call Data'!$F469)&lt;=6, YEAR('Call Data'!$F469), YEAR('Call Data'!$F469)+1)</f>
        <v>2023</v>
      </c>
      <c r="K469" s="23" t="str">
        <f>TEXT('Call Data'!$F469,"DDDD")</f>
        <v>Sunday</v>
      </c>
      <c r="L469" s="23" t="s">
        <v>14</v>
      </c>
      <c r="M469" s="23">
        <f>ROUND('Call Data'!$I469,0)</f>
        <v>1</v>
      </c>
    </row>
    <row r="470" spans="1:13" ht="14.25" customHeight="1" x14ac:dyDescent="0.35">
      <c r="A470" s="23" t="s">
        <v>504</v>
      </c>
      <c r="B470" s="23" t="s">
        <v>68</v>
      </c>
      <c r="C470" s="23">
        <v>92</v>
      </c>
      <c r="D470" s="24" t="str" cm="1">
        <f t="array" ref="D470">_xlfn.IFS(CallData[[#This Row],[Duration]]&lt;=15,"Very short",CallData[[#This Row],[Duration]]&lt;=30,"Short",CallData[[#This Row],[Duration]]&lt;=60,"Medium",CallData[[#This Row],[Duration]]&gt;60,"Long")</f>
        <v>Long</v>
      </c>
      <c r="E470" s="24" t="s">
        <v>24</v>
      </c>
      <c r="F470" s="25">
        <v>45060</v>
      </c>
      <c r="G470" s="26">
        <v>44</v>
      </c>
      <c r="H470" s="26" t="str" cm="1">
        <f t="array" ref="H470">_xlfn.IFS(CallData[[#This Row],[Purchase Amount]]&lt;=50,"Low",CallData[[#This Row],[Purchase Amount]]&lt;=100,"Medium",CallData[[#This Row],[Purchase Amount]]&lt;=150,"High",CallData[[#This Row],[Purchase Amount]]&gt;150,"Very High")</f>
        <v>Low</v>
      </c>
      <c r="I470" s="23">
        <v>3.1</v>
      </c>
      <c r="J470" s="23">
        <f>IF(MONTH('Call Data'!$F470)&lt;=6, YEAR('Call Data'!$F470), YEAR('Call Data'!$F470)+1)</f>
        <v>2023</v>
      </c>
      <c r="K470" s="23" t="str">
        <f>TEXT('Call Data'!$F470,"DDDD")</f>
        <v>Sunday</v>
      </c>
      <c r="L470" s="23" t="s">
        <v>14</v>
      </c>
      <c r="M470" s="23">
        <f>ROUND('Call Data'!$I470,0)</f>
        <v>3</v>
      </c>
    </row>
    <row r="471" spans="1:13" ht="14.25" customHeight="1" x14ac:dyDescent="0.35">
      <c r="A471" s="23" t="s">
        <v>505</v>
      </c>
      <c r="B471" s="23" t="s">
        <v>18</v>
      </c>
      <c r="C471" s="23">
        <v>115</v>
      </c>
      <c r="D471" s="24" t="str" cm="1">
        <f t="array" ref="D471">_xlfn.IFS(CallData[[#This Row],[Duration]]&lt;=15,"Very short",CallData[[#This Row],[Duration]]&lt;=30,"Short",CallData[[#This Row],[Duration]]&lt;=60,"Medium",CallData[[#This Row],[Duration]]&gt;60,"Long")</f>
        <v>Long</v>
      </c>
      <c r="E471" s="24" t="s">
        <v>31</v>
      </c>
      <c r="F471" s="25">
        <v>45060</v>
      </c>
      <c r="G471" s="26">
        <v>168</v>
      </c>
      <c r="H471" s="26" t="str" cm="1">
        <f t="array" ref="H471">_xlfn.IFS(CallData[[#This Row],[Purchase Amount]]&lt;=50,"Low",CallData[[#This Row],[Purchase Amount]]&lt;=100,"Medium",CallData[[#This Row],[Purchase Amount]]&lt;=150,"High",CallData[[#This Row],[Purchase Amount]]&gt;150,"Very High")</f>
        <v>Very High</v>
      </c>
      <c r="I471" s="23">
        <v>3.4</v>
      </c>
      <c r="J471" s="23">
        <f>IF(MONTH('Call Data'!$F471)&lt;=6, YEAR('Call Data'!$F471), YEAR('Call Data'!$F471)+1)</f>
        <v>2023</v>
      </c>
      <c r="K471" s="23" t="str">
        <f>TEXT('Call Data'!$F471,"DDDD")</f>
        <v>Sunday</v>
      </c>
      <c r="L471" s="23" t="s">
        <v>14</v>
      </c>
      <c r="M471" s="23">
        <f>ROUND('Call Data'!$I471,0)</f>
        <v>3</v>
      </c>
    </row>
    <row r="472" spans="1:13" ht="14.25" customHeight="1" x14ac:dyDescent="0.35">
      <c r="A472" s="23" t="s">
        <v>506</v>
      </c>
      <c r="B472" s="23" t="s">
        <v>29</v>
      </c>
      <c r="C472" s="23">
        <v>56</v>
      </c>
      <c r="D472" s="24" t="str" cm="1">
        <f t="array" ref="D472">_xlfn.IFS(CallData[[#This Row],[Duration]]&lt;=15,"Very short",CallData[[#This Row],[Duration]]&lt;=30,"Short",CallData[[#This Row],[Duration]]&lt;=60,"Medium",CallData[[#This Row],[Duration]]&gt;60,"Long")</f>
        <v>Medium</v>
      </c>
      <c r="E472" s="24" t="s">
        <v>31</v>
      </c>
      <c r="F472" s="25">
        <v>45061</v>
      </c>
      <c r="G472" s="26">
        <v>200</v>
      </c>
      <c r="H472" s="26" t="str" cm="1">
        <f t="array" ref="H472">_xlfn.IFS(CallData[[#This Row],[Purchase Amount]]&lt;=50,"Low",CallData[[#This Row],[Purchase Amount]]&lt;=100,"Medium",CallData[[#This Row],[Purchase Amount]]&lt;=150,"High",CallData[[#This Row],[Purchase Amount]]&gt;150,"Very High")</f>
        <v>Very High</v>
      </c>
      <c r="I472" s="23">
        <v>4.5999999999999996</v>
      </c>
      <c r="J472" s="23">
        <f>IF(MONTH('Call Data'!$F472)&lt;=6, YEAR('Call Data'!$F472), YEAR('Call Data'!$F472)+1)</f>
        <v>2023</v>
      </c>
      <c r="K472" s="23" t="str">
        <f>TEXT('Call Data'!$F472,"DDDD")</f>
        <v>Monday</v>
      </c>
      <c r="L472" s="23" t="s">
        <v>27</v>
      </c>
      <c r="M472" s="23">
        <f>ROUND('Call Data'!$I472,0)</f>
        <v>5</v>
      </c>
    </row>
    <row r="473" spans="1:13" ht="14.25" customHeight="1" x14ac:dyDescent="0.35">
      <c r="A473" s="23" t="s">
        <v>507</v>
      </c>
      <c r="B473" s="23" t="s">
        <v>16</v>
      </c>
      <c r="C473" s="23">
        <v>154</v>
      </c>
      <c r="D473" s="24" t="str" cm="1">
        <f t="array" ref="D473">_xlfn.IFS(CallData[[#This Row],[Duration]]&lt;=15,"Very short",CallData[[#This Row],[Duration]]&lt;=30,"Short",CallData[[#This Row],[Duration]]&lt;=60,"Medium",CallData[[#This Row],[Duration]]&gt;60,"Long")</f>
        <v>Long</v>
      </c>
      <c r="E473" s="24" t="s">
        <v>24</v>
      </c>
      <c r="F473" s="25">
        <v>45061</v>
      </c>
      <c r="G473" s="26">
        <v>84</v>
      </c>
      <c r="H473" s="26" t="str" cm="1">
        <f t="array" ref="H473">_xlfn.IFS(CallData[[#This Row],[Purchase Amount]]&lt;=50,"Low",CallData[[#This Row],[Purchase Amount]]&lt;=100,"Medium",CallData[[#This Row],[Purchase Amount]]&lt;=150,"High",CallData[[#This Row],[Purchase Amount]]&gt;150,"Very High")</f>
        <v>Medium</v>
      </c>
      <c r="I473" s="23">
        <v>4.3</v>
      </c>
      <c r="J473" s="23">
        <f>IF(MONTH('Call Data'!$F473)&lt;=6, YEAR('Call Data'!$F473), YEAR('Call Data'!$F473)+1)</f>
        <v>2023</v>
      </c>
      <c r="K473" s="23" t="str">
        <f>TEXT('Call Data'!$F473,"DDDD")</f>
        <v>Monday</v>
      </c>
      <c r="L473" s="23" t="s">
        <v>25</v>
      </c>
      <c r="M473" s="23">
        <f>ROUND('Call Data'!$I473,0)</f>
        <v>4</v>
      </c>
    </row>
    <row r="474" spans="1:13" ht="14.25" customHeight="1" x14ac:dyDescent="0.35">
      <c r="A474" s="23" t="s">
        <v>508</v>
      </c>
      <c r="B474" s="23" t="s">
        <v>88</v>
      </c>
      <c r="C474" s="23">
        <v>51</v>
      </c>
      <c r="D474" s="24" t="str" cm="1">
        <f t="array" ref="D474">_xlfn.IFS(CallData[[#This Row],[Duration]]&lt;=15,"Very short",CallData[[#This Row],[Duration]]&lt;=30,"Short",CallData[[#This Row],[Duration]]&lt;=60,"Medium",CallData[[#This Row],[Duration]]&gt;60,"Long")</f>
        <v>Medium</v>
      </c>
      <c r="E474" s="24" t="s">
        <v>31</v>
      </c>
      <c r="F474" s="25">
        <v>45062</v>
      </c>
      <c r="G474" s="26">
        <v>117</v>
      </c>
      <c r="H474" s="26" t="str" cm="1">
        <f t="array" ref="H474">_xlfn.IFS(CallData[[#This Row],[Purchase Amount]]&lt;=50,"Low",CallData[[#This Row],[Purchase Amount]]&lt;=100,"Medium",CallData[[#This Row],[Purchase Amount]]&lt;=150,"High",CallData[[#This Row],[Purchase Amount]]&gt;150,"Very High")</f>
        <v>High</v>
      </c>
      <c r="I474" s="23">
        <v>2.7</v>
      </c>
      <c r="J474" s="23">
        <f>IF(MONTH('Call Data'!$F474)&lt;=6, YEAR('Call Data'!$F474), YEAR('Call Data'!$F474)+1)</f>
        <v>2023</v>
      </c>
      <c r="K474" s="23" t="str">
        <f>TEXT('Call Data'!$F474,"DDDD")</f>
        <v>Tuesday</v>
      </c>
      <c r="L474" s="23" t="s">
        <v>27</v>
      </c>
      <c r="M474" s="23">
        <f>ROUND('Call Data'!$I474,0)</f>
        <v>3</v>
      </c>
    </row>
    <row r="475" spans="1:13" ht="14.25" customHeight="1" x14ac:dyDescent="0.35">
      <c r="A475" s="23" t="s">
        <v>509</v>
      </c>
      <c r="B475" s="23" t="s">
        <v>50</v>
      </c>
      <c r="C475" s="23">
        <v>21</v>
      </c>
      <c r="D475" s="24" t="str" cm="1">
        <f t="array" ref="D475">_xlfn.IFS(CallData[[#This Row],[Duration]]&lt;=15,"Very short",CallData[[#This Row],[Duration]]&lt;=30,"Short",CallData[[#This Row],[Duration]]&lt;=60,"Medium",CallData[[#This Row],[Duration]]&gt;60,"Long")</f>
        <v>Short</v>
      </c>
      <c r="E475" s="24" t="s">
        <v>19</v>
      </c>
      <c r="F475" s="25">
        <v>45062</v>
      </c>
      <c r="G475" s="26">
        <v>63</v>
      </c>
      <c r="H475" s="26" t="str" cm="1">
        <f t="array" ref="H475">_xlfn.IFS(CallData[[#This Row],[Purchase Amount]]&lt;=50,"Low",CallData[[#This Row],[Purchase Amount]]&lt;=100,"Medium",CallData[[#This Row],[Purchase Amount]]&lt;=150,"High",CallData[[#This Row],[Purchase Amount]]&gt;150,"Very High")</f>
        <v>Medium</v>
      </c>
      <c r="I475" s="23">
        <v>4.2</v>
      </c>
      <c r="J475" s="23">
        <f>IF(MONTH('Call Data'!$F475)&lt;=6, YEAR('Call Data'!$F475), YEAR('Call Data'!$F475)+1)</f>
        <v>2023</v>
      </c>
      <c r="K475" s="23" t="str">
        <f>TEXT('Call Data'!$F475,"DDDD")</f>
        <v>Tuesday</v>
      </c>
      <c r="L475" s="23" t="s">
        <v>47</v>
      </c>
      <c r="M475" s="23">
        <f>ROUND('Call Data'!$I475,0)</f>
        <v>4</v>
      </c>
    </row>
    <row r="476" spans="1:13" ht="14.25" customHeight="1" x14ac:dyDescent="0.35">
      <c r="A476" s="23" t="s">
        <v>510</v>
      </c>
      <c r="B476" s="23" t="s">
        <v>18</v>
      </c>
      <c r="C476" s="23">
        <v>80</v>
      </c>
      <c r="D476" s="24" t="str" cm="1">
        <f t="array" ref="D476">_xlfn.IFS(CallData[[#This Row],[Duration]]&lt;=15,"Very short",CallData[[#This Row],[Duration]]&lt;=30,"Short",CallData[[#This Row],[Duration]]&lt;=60,"Medium",CallData[[#This Row],[Duration]]&gt;60,"Long")</f>
        <v>Long</v>
      </c>
      <c r="E476" s="24" t="s">
        <v>31</v>
      </c>
      <c r="F476" s="25">
        <v>45063</v>
      </c>
      <c r="G476" s="26">
        <v>145</v>
      </c>
      <c r="H476" s="26" t="str" cm="1">
        <f t="array" ref="H476">_xlfn.IFS(CallData[[#This Row],[Purchase Amount]]&lt;=50,"Low",CallData[[#This Row],[Purchase Amount]]&lt;=100,"Medium",CallData[[#This Row],[Purchase Amount]]&lt;=150,"High",CallData[[#This Row],[Purchase Amount]]&gt;150,"Very High")</f>
        <v>High</v>
      </c>
      <c r="I476" s="23">
        <v>4.9000000000000004</v>
      </c>
      <c r="J476" s="23">
        <f>IF(MONTH('Call Data'!$F476)&lt;=6, YEAR('Call Data'!$F476), YEAR('Call Data'!$F476)+1)</f>
        <v>2023</v>
      </c>
      <c r="K476" s="23" t="str">
        <f>TEXT('Call Data'!$F476,"DDDD")</f>
        <v>Wednesday</v>
      </c>
      <c r="L476" s="23" t="s">
        <v>14</v>
      </c>
      <c r="M476" s="23">
        <f>ROUND('Call Data'!$I476,0)</f>
        <v>5</v>
      </c>
    </row>
    <row r="477" spans="1:13" ht="14.25" customHeight="1" x14ac:dyDescent="0.35">
      <c r="A477" s="23" t="s">
        <v>511</v>
      </c>
      <c r="B477" s="23" t="s">
        <v>88</v>
      </c>
      <c r="C477" s="23">
        <v>139</v>
      </c>
      <c r="D477" s="24" t="str" cm="1">
        <f t="array" ref="D477">_xlfn.IFS(CallData[[#This Row],[Duration]]&lt;=15,"Very short",CallData[[#This Row],[Duration]]&lt;=30,"Short",CallData[[#This Row],[Duration]]&lt;=60,"Medium",CallData[[#This Row],[Duration]]&gt;60,"Long")</f>
        <v>Long</v>
      </c>
      <c r="E477" s="24" t="s">
        <v>24</v>
      </c>
      <c r="F477" s="25">
        <v>45063</v>
      </c>
      <c r="G477" s="26">
        <v>220</v>
      </c>
      <c r="H477" s="26" t="str" cm="1">
        <f t="array" ref="H477">_xlfn.IFS(CallData[[#This Row],[Purchase Amount]]&lt;=50,"Low",CallData[[#This Row],[Purchase Amount]]&lt;=100,"Medium",CallData[[#This Row],[Purchase Amount]]&lt;=150,"High",CallData[[#This Row],[Purchase Amount]]&gt;150,"Very High")</f>
        <v>Very High</v>
      </c>
      <c r="I477" s="23">
        <v>3.2</v>
      </c>
      <c r="J477" s="23">
        <f>IF(MONTH('Call Data'!$F477)&lt;=6, YEAR('Call Data'!$F477), YEAR('Call Data'!$F477)+1)</f>
        <v>2023</v>
      </c>
      <c r="K477" s="23" t="str">
        <f>TEXT('Call Data'!$F477,"DDDD")</f>
        <v>Wednesday</v>
      </c>
      <c r="L477" s="23" t="s">
        <v>25</v>
      </c>
      <c r="M477" s="23">
        <f>ROUND('Call Data'!$I477,0)</f>
        <v>3</v>
      </c>
    </row>
    <row r="478" spans="1:13" ht="14.25" customHeight="1" x14ac:dyDescent="0.35">
      <c r="A478" s="23" t="s">
        <v>512</v>
      </c>
      <c r="B478" s="23" t="s">
        <v>40</v>
      </c>
      <c r="C478" s="23">
        <v>50</v>
      </c>
      <c r="D478" s="24" t="str" cm="1">
        <f t="array" ref="D478">_xlfn.IFS(CallData[[#This Row],[Duration]]&lt;=15,"Very short",CallData[[#This Row],[Duration]]&lt;=30,"Short",CallData[[#This Row],[Duration]]&lt;=60,"Medium",CallData[[#This Row],[Duration]]&gt;60,"Long")</f>
        <v>Medium</v>
      </c>
      <c r="E478" s="24" t="s">
        <v>19</v>
      </c>
      <c r="F478" s="25">
        <v>45063</v>
      </c>
      <c r="G478" s="26">
        <v>26</v>
      </c>
      <c r="H478" s="26" t="str" cm="1">
        <f t="array" ref="H478">_xlfn.IFS(CallData[[#This Row],[Purchase Amount]]&lt;=50,"Low",CallData[[#This Row],[Purchase Amount]]&lt;=100,"Medium",CallData[[#This Row],[Purchase Amount]]&lt;=150,"High",CallData[[#This Row],[Purchase Amount]]&gt;150,"Very High")</f>
        <v>Low</v>
      </c>
      <c r="I478" s="23">
        <v>4.7</v>
      </c>
      <c r="J478" s="23">
        <f>IF(MONTH('Call Data'!$F478)&lt;=6, YEAR('Call Data'!$F478), YEAR('Call Data'!$F478)+1)</f>
        <v>2023</v>
      </c>
      <c r="K478" s="23" t="str">
        <f>TEXT('Call Data'!$F478,"DDDD")</f>
        <v>Wednesday</v>
      </c>
      <c r="L478" s="23" t="s">
        <v>27</v>
      </c>
      <c r="M478" s="23">
        <f>ROUND('Call Data'!$I478,0)</f>
        <v>5</v>
      </c>
    </row>
    <row r="479" spans="1:13" ht="14.25" customHeight="1" x14ac:dyDescent="0.35">
      <c r="A479" s="23" t="s">
        <v>513</v>
      </c>
      <c r="B479" s="23" t="s">
        <v>18</v>
      </c>
      <c r="C479" s="23">
        <v>88</v>
      </c>
      <c r="D479" s="24" t="str" cm="1">
        <f t="array" ref="D479">_xlfn.IFS(CallData[[#This Row],[Duration]]&lt;=15,"Very short",CallData[[#This Row],[Duration]]&lt;=30,"Short",CallData[[#This Row],[Duration]]&lt;=60,"Medium",CallData[[#This Row],[Duration]]&gt;60,"Long")</f>
        <v>Long</v>
      </c>
      <c r="E479" s="24" t="s">
        <v>31</v>
      </c>
      <c r="F479" s="25">
        <v>45063</v>
      </c>
      <c r="G479" s="26">
        <v>78</v>
      </c>
      <c r="H479" s="26" t="str" cm="1">
        <f t="array" ref="H479">_xlfn.IFS(CallData[[#This Row],[Purchase Amount]]&lt;=50,"Low",CallData[[#This Row],[Purchase Amount]]&lt;=100,"Medium",CallData[[#This Row],[Purchase Amount]]&lt;=150,"High",CallData[[#This Row],[Purchase Amount]]&gt;150,"Very High")</f>
        <v>Medium</v>
      </c>
      <c r="I479" s="23">
        <v>4.3</v>
      </c>
      <c r="J479" s="23">
        <f>IF(MONTH('Call Data'!$F479)&lt;=6, YEAR('Call Data'!$F479), YEAR('Call Data'!$F479)+1)</f>
        <v>2023</v>
      </c>
      <c r="K479" s="23" t="str">
        <f>TEXT('Call Data'!$F479,"DDDD")</f>
        <v>Wednesday</v>
      </c>
      <c r="L479" s="23" t="s">
        <v>14</v>
      </c>
      <c r="M479" s="23">
        <f>ROUND('Call Data'!$I479,0)</f>
        <v>4</v>
      </c>
    </row>
    <row r="480" spans="1:13" ht="14.25" customHeight="1" x14ac:dyDescent="0.35">
      <c r="A480" s="23" t="s">
        <v>514</v>
      </c>
      <c r="B480" s="23" t="s">
        <v>34</v>
      </c>
      <c r="C480" s="23">
        <v>19</v>
      </c>
      <c r="D480" s="24" t="str" cm="1">
        <f t="array" ref="D480">_xlfn.IFS(CallData[[#This Row],[Duration]]&lt;=15,"Very short",CallData[[#This Row],[Duration]]&lt;=30,"Short",CallData[[#This Row],[Duration]]&lt;=60,"Medium",CallData[[#This Row],[Duration]]&gt;60,"Long")</f>
        <v>Short</v>
      </c>
      <c r="E480" s="24" t="s">
        <v>35</v>
      </c>
      <c r="F480" s="25">
        <v>45064</v>
      </c>
      <c r="G480" s="26">
        <v>132</v>
      </c>
      <c r="H480" s="26" t="str" cm="1">
        <f t="array" ref="H480">_xlfn.IFS(CallData[[#This Row],[Purchase Amount]]&lt;=50,"Low",CallData[[#This Row],[Purchase Amount]]&lt;=100,"Medium",CallData[[#This Row],[Purchase Amount]]&lt;=150,"High",CallData[[#This Row],[Purchase Amount]]&gt;150,"Very High")</f>
        <v>High</v>
      </c>
      <c r="I480" s="23">
        <v>4.3</v>
      </c>
      <c r="J480" s="23">
        <f>IF(MONTH('Call Data'!$F480)&lt;=6, YEAR('Call Data'!$F480), YEAR('Call Data'!$F480)+1)</f>
        <v>2023</v>
      </c>
      <c r="K480" s="23" t="str">
        <f>TEXT('Call Data'!$F480,"DDDD")</f>
        <v>Thursday</v>
      </c>
      <c r="L480" s="23" t="s">
        <v>47</v>
      </c>
      <c r="M480" s="23">
        <f>ROUND('Call Data'!$I480,0)</f>
        <v>4</v>
      </c>
    </row>
    <row r="481" spans="1:13" ht="14.25" customHeight="1" x14ac:dyDescent="0.35">
      <c r="A481" s="23" t="s">
        <v>515</v>
      </c>
      <c r="B481" s="23" t="s">
        <v>46</v>
      </c>
      <c r="C481" s="23">
        <v>104</v>
      </c>
      <c r="D481" s="24" t="str" cm="1">
        <f t="array" ref="D481">_xlfn.IFS(CallData[[#This Row],[Duration]]&lt;=15,"Very short",CallData[[#This Row],[Duration]]&lt;=30,"Short",CallData[[#This Row],[Duration]]&lt;=60,"Medium",CallData[[#This Row],[Duration]]&gt;60,"Long")</f>
        <v>Long</v>
      </c>
      <c r="E481" s="24" t="s">
        <v>35</v>
      </c>
      <c r="F481" s="25">
        <v>45065</v>
      </c>
      <c r="G481" s="26">
        <v>68</v>
      </c>
      <c r="H481" s="26" t="str" cm="1">
        <f t="array" ref="H481">_xlfn.IFS(CallData[[#This Row],[Purchase Amount]]&lt;=50,"Low",CallData[[#This Row],[Purchase Amount]]&lt;=100,"Medium",CallData[[#This Row],[Purchase Amount]]&lt;=150,"High",CallData[[#This Row],[Purchase Amount]]&gt;150,"Very High")</f>
        <v>Medium</v>
      </c>
      <c r="I481" s="23">
        <v>3.7</v>
      </c>
      <c r="J481" s="23">
        <f>IF(MONTH('Call Data'!$F481)&lt;=6, YEAR('Call Data'!$F481), YEAR('Call Data'!$F481)+1)</f>
        <v>2023</v>
      </c>
      <c r="K481" s="23" t="str">
        <f>TEXT('Call Data'!$F481,"DDDD")</f>
        <v>Friday</v>
      </c>
      <c r="L481" s="23" t="s">
        <v>14</v>
      </c>
      <c r="M481" s="23">
        <f>ROUND('Call Data'!$I481,0)</f>
        <v>4</v>
      </c>
    </row>
    <row r="482" spans="1:13" ht="14.25" customHeight="1" x14ac:dyDescent="0.35">
      <c r="A482" s="23" t="s">
        <v>516</v>
      </c>
      <c r="B482" s="23" t="s">
        <v>16</v>
      </c>
      <c r="C482" s="23">
        <v>67</v>
      </c>
      <c r="D482" s="24" t="str" cm="1">
        <f t="array" ref="D482">_xlfn.IFS(CallData[[#This Row],[Duration]]&lt;=15,"Very short",CallData[[#This Row],[Duration]]&lt;=30,"Short",CallData[[#This Row],[Duration]]&lt;=60,"Medium",CallData[[#This Row],[Duration]]&gt;60,"Long")</f>
        <v>Long</v>
      </c>
      <c r="E482" s="24" t="s">
        <v>24</v>
      </c>
      <c r="F482" s="25">
        <v>45067</v>
      </c>
      <c r="G482" s="26">
        <v>129</v>
      </c>
      <c r="H482" s="26" t="str" cm="1">
        <f t="array" ref="H482">_xlfn.IFS(CallData[[#This Row],[Purchase Amount]]&lt;=50,"Low",CallData[[#This Row],[Purchase Amount]]&lt;=100,"Medium",CallData[[#This Row],[Purchase Amount]]&lt;=150,"High",CallData[[#This Row],[Purchase Amount]]&gt;150,"Very High")</f>
        <v>High</v>
      </c>
      <c r="I482" s="23">
        <v>4.7</v>
      </c>
      <c r="J482" s="23">
        <f>IF(MONTH('Call Data'!$F482)&lt;=6, YEAR('Call Data'!$F482), YEAR('Call Data'!$F482)+1)</f>
        <v>2023</v>
      </c>
      <c r="K482" s="23" t="str">
        <f>TEXT('Call Data'!$F482,"DDDD")</f>
        <v>Sunday</v>
      </c>
      <c r="L482" s="23" t="s">
        <v>14</v>
      </c>
      <c r="M482" s="23">
        <f>ROUND('Call Data'!$I482,0)</f>
        <v>5</v>
      </c>
    </row>
    <row r="483" spans="1:13" ht="14.25" customHeight="1" x14ac:dyDescent="0.35">
      <c r="A483" s="23" t="s">
        <v>517</v>
      </c>
      <c r="B483" s="23" t="s">
        <v>58</v>
      </c>
      <c r="C483" s="23">
        <v>107</v>
      </c>
      <c r="D483" s="24" t="str" cm="1">
        <f t="array" ref="D483">_xlfn.IFS(CallData[[#This Row],[Duration]]&lt;=15,"Very short",CallData[[#This Row],[Duration]]&lt;=30,"Short",CallData[[#This Row],[Duration]]&lt;=60,"Medium",CallData[[#This Row],[Duration]]&gt;60,"Long")</f>
        <v>Long</v>
      </c>
      <c r="E483" s="24" t="s">
        <v>35</v>
      </c>
      <c r="F483" s="25">
        <v>45067</v>
      </c>
      <c r="G483" s="26">
        <v>115</v>
      </c>
      <c r="H483" s="26" t="str" cm="1">
        <f t="array" ref="H483">_xlfn.IFS(CallData[[#This Row],[Purchase Amount]]&lt;=50,"Low",CallData[[#This Row],[Purchase Amount]]&lt;=100,"Medium",CallData[[#This Row],[Purchase Amount]]&lt;=150,"High",CallData[[#This Row],[Purchase Amount]]&gt;150,"Very High")</f>
        <v>High</v>
      </c>
      <c r="I483" s="23">
        <v>4.9000000000000004</v>
      </c>
      <c r="J483" s="23">
        <f>IF(MONTH('Call Data'!$F483)&lt;=6, YEAR('Call Data'!$F483), YEAR('Call Data'!$F483)+1)</f>
        <v>2023</v>
      </c>
      <c r="K483" s="23" t="str">
        <f>TEXT('Call Data'!$F483,"DDDD")</f>
        <v>Sunday</v>
      </c>
      <c r="L483" s="23" t="s">
        <v>14</v>
      </c>
      <c r="M483" s="23">
        <f>ROUND('Call Data'!$I483,0)</f>
        <v>5</v>
      </c>
    </row>
    <row r="484" spans="1:13" ht="14.25" customHeight="1" x14ac:dyDescent="0.35">
      <c r="A484" s="23" t="s">
        <v>518</v>
      </c>
      <c r="B484" s="23" t="s">
        <v>58</v>
      </c>
      <c r="C484" s="23">
        <v>93</v>
      </c>
      <c r="D484" s="24" t="str" cm="1">
        <f t="array" ref="D484">_xlfn.IFS(CallData[[#This Row],[Duration]]&lt;=15,"Very short",CallData[[#This Row],[Duration]]&lt;=30,"Short",CallData[[#This Row],[Duration]]&lt;=60,"Medium",CallData[[#This Row],[Duration]]&gt;60,"Long")</f>
        <v>Long</v>
      </c>
      <c r="E484" s="24" t="s">
        <v>35</v>
      </c>
      <c r="F484" s="25">
        <v>45067</v>
      </c>
      <c r="G484" s="26">
        <v>128</v>
      </c>
      <c r="H484" s="26" t="str" cm="1">
        <f t="array" ref="H484">_xlfn.IFS(CallData[[#This Row],[Purchase Amount]]&lt;=50,"Low",CallData[[#This Row],[Purchase Amount]]&lt;=100,"Medium",CallData[[#This Row],[Purchase Amount]]&lt;=150,"High",CallData[[#This Row],[Purchase Amount]]&gt;150,"Very High")</f>
        <v>High</v>
      </c>
      <c r="I484" s="23">
        <v>3.9</v>
      </c>
      <c r="J484" s="23">
        <f>IF(MONTH('Call Data'!$F484)&lt;=6, YEAR('Call Data'!$F484), YEAR('Call Data'!$F484)+1)</f>
        <v>2023</v>
      </c>
      <c r="K484" s="23" t="str">
        <f>TEXT('Call Data'!$F484,"DDDD")</f>
        <v>Sunday</v>
      </c>
      <c r="L484" s="23" t="s">
        <v>14</v>
      </c>
      <c r="M484" s="23">
        <f>ROUND('Call Data'!$I484,0)</f>
        <v>4</v>
      </c>
    </row>
    <row r="485" spans="1:13" ht="14.25" customHeight="1" x14ac:dyDescent="0.35">
      <c r="A485" s="23" t="s">
        <v>519</v>
      </c>
      <c r="B485" s="23" t="s">
        <v>58</v>
      </c>
      <c r="C485" s="23">
        <v>117</v>
      </c>
      <c r="D485" s="24" t="str" cm="1">
        <f t="array" ref="D485">_xlfn.IFS(CallData[[#This Row],[Duration]]&lt;=15,"Very short",CallData[[#This Row],[Duration]]&lt;=30,"Short",CallData[[#This Row],[Duration]]&lt;=60,"Medium",CallData[[#This Row],[Duration]]&gt;60,"Long")</f>
        <v>Long</v>
      </c>
      <c r="E485" s="24" t="s">
        <v>24</v>
      </c>
      <c r="F485" s="25">
        <v>45067</v>
      </c>
      <c r="G485" s="26">
        <v>90</v>
      </c>
      <c r="H485" s="26" t="str" cm="1">
        <f t="array" ref="H485">_xlfn.IFS(CallData[[#This Row],[Purchase Amount]]&lt;=50,"Low",CallData[[#This Row],[Purchase Amount]]&lt;=100,"Medium",CallData[[#This Row],[Purchase Amount]]&lt;=150,"High",CallData[[#This Row],[Purchase Amount]]&gt;150,"Very High")</f>
        <v>Medium</v>
      </c>
      <c r="I485" s="23">
        <v>4.5</v>
      </c>
      <c r="J485" s="23">
        <f>IF(MONTH('Call Data'!$F485)&lt;=6, YEAR('Call Data'!$F485), YEAR('Call Data'!$F485)+1)</f>
        <v>2023</v>
      </c>
      <c r="K485" s="23" t="str">
        <f>TEXT('Call Data'!$F485,"DDDD")</f>
        <v>Sunday</v>
      </c>
      <c r="L485" s="23" t="s">
        <v>14</v>
      </c>
      <c r="M485" s="23">
        <f>ROUND('Call Data'!$I485,0)</f>
        <v>5</v>
      </c>
    </row>
    <row r="486" spans="1:13" ht="14.25" customHeight="1" x14ac:dyDescent="0.35">
      <c r="A486" s="23" t="s">
        <v>520</v>
      </c>
      <c r="B486" s="23" t="s">
        <v>40</v>
      </c>
      <c r="C486" s="23">
        <v>76</v>
      </c>
      <c r="D486" s="24" t="str" cm="1">
        <f t="array" ref="D486">_xlfn.IFS(CallData[[#This Row],[Duration]]&lt;=15,"Very short",CallData[[#This Row],[Duration]]&lt;=30,"Short",CallData[[#This Row],[Duration]]&lt;=60,"Medium",CallData[[#This Row],[Duration]]&gt;60,"Long")</f>
        <v>Long</v>
      </c>
      <c r="E486" s="24" t="s">
        <v>31</v>
      </c>
      <c r="F486" s="25">
        <v>45068</v>
      </c>
      <c r="G486" s="26">
        <v>39</v>
      </c>
      <c r="H486" s="26" t="str" cm="1">
        <f t="array" ref="H486">_xlfn.IFS(CallData[[#This Row],[Purchase Amount]]&lt;=50,"Low",CallData[[#This Row],[Purchase Amount]]&lt;=100,"Medium",CallData[[#This Row],[Purchase Amount]]&lt;=150,"High",CallData[[#This Row],[Purchase Amount]]&gt;150,"Very High")</f>
        <v>Low</v>
      </c>
      <c r="I486" s="23">
        <v>4.5999999999999996</v>
      </c>
      <c r="J486" s="23">
        <f>IF(MONTH('Call Data'!$F486)&lt;=6, YEAR('Call Data'!$F486), YEAR('Call Data'!$F486)+1)</f>
        <v>2023</v>
      </c>
      <c r="K486" s="23" t="str">
        <f>TEXT('Call Data'!$F486,"DDDD")</f>
        <v>Monday</v>
      </c>
      <c r="L486" s="23" t="s">
        <v>14</v>
      </c>
      <c r="M486" s="23">
        <f>ROUND('Call Data'!$I486,0)</f>
        <v>5</v>
      </c>
    </row>
    <row r="487" spans="1:13" ht="14.25" customHeight="1" x14ac:dyDescent="0.35">
      <c r="A487" s="23" t="s">
        <v>521</v>
      </c>
      <c r="B487" s="23" t="s">
        <v>34</v>
      </c>
      <c r="C487" s="23">
        <v>64</v>
      </c>
      <c r="D487" s="24" t="str" cm="1">
        <f t="array" ref="D487">_xlfn.IFS(CallData[[#This Row],[Duration]]&lt;=15,"Very short",CallData[[#This Row],[Duration]]&lt;=30,"Short",CallData[[#This Row],[Duration]]&lt;=60,"Medium",CallData[[#This Row],[Duration]]&gt;60,"Long")</f>
        <v>Long</v>
      </c>
      <c r="E487" s="24" t="s">
        <v>35</v>
      </c>
      <c r="F487" s="25">
        <v>45068</v>
      </c>
      <c r="G487" s="26">
        <v>132</v>
      </c>
      <c r="H487" s="26" t="str" cm="1">
        <f t="array" ref="H487">_xlfn.IFS(CallData[[#This Row],[Purchase Amount]]&lt;=50,"Low",CallData[[#This Row],[Purchase Amount]]&lt;=100,"Medium",CallData[[#This Row],[Purchase Amount]]&lt;=150,"High",CallData[[#This Row],[Purchase Amount]]&gt;150,"Very High")</f>
        <v>High</v>
      </c>
      <c r="I487" s="23">
        <v>3.3</v>
      </c>
      <c r="J487" s="23">
        <f>IF(MONTH('Call Data'!$F487)&lt;=6, YEAR('Call Data'!$F487), YEAR('Call Data'!$F487)+1)</f>
        <v>2023</v>
      </c>
      <c r="K487" s="23" t="str">
        <f>TEXT('Call Data'!$F487,"DDDD")</f>
        <v>Monday</v>
      </c>
      <c r="L487" s="23" t="s">
        <v>14</v>
      </c>
      <c r="M487" s="23">
        <f>ROUND('Call Data'!$I487,0)</f>
        <v>3</v>
      </c>
    </row>
    <row r="488" spans="1:13" ht="14.25" customHeight="1" x14ac:dyDescent="0.35">
      <c r="A488" s="23" t="s">
        <v>522</v>
      </c>
      <c r="B488" s="23" t="s">
        <v>23</v>
      </c>
      <c r="C488" s="23">
        <v>33</v>
      </c>
      <c r="D488" s="24" t="str" cm="1">
        <f t="array" ref="D488">_xlfn.IFS(CallData[[#This Row],[Duration]]&lt;=15,"Very short",CallData[[#This Row],[Duration]]&lt;=30,"Short",CallData[[#This Row],[Duration]]&lt;=60,"Medium",CallData[[#This Row],[Duration]]&gt;60,"Long")</f>
        <v>Medium</v>
      </c>
      <c r="E488" s="24" t="s">
        <v>35</v>
      </c>
      <c r="F488" s="25">
        <v>45068</v>
      </c>
      <c r="G488" s="26">
        <v>170</v>
      </c>
      <c r="H488" s="26" t="str" cm="1">
        <f t="array" ref="H488">_xlfn.IFS(CallData[[#This Row],[Purchase Amount]]&lt;=50,"Low",CallData[[#This Row],[Purchase Amount]]&lt;=100,"Medium",CallData[[#This Row],[Purchase Amount]]&lt;=150,"High",CallData[[#This Row],[Purchase Amount]]&gt;150,"Very High")</f>
        <v>Very High</v>
      </c>
      <c r="I488" s="23">
        <v>3.8</v>
      </c>
      <c r="J488" s="23">
        <f>IF(MONTH('Call Data'!$F488)&lt;=6, YEAR('Call Data'!$F488), YEAR('Call Data'!$F488)+1)</f>
        <v>2023</v>
      </c>
      <c r="K488" s="23" t="str">
        <f>TEXT('Call Data'!$F488,"DDDD")</f>
        <v>Monday</v>
      </c>
      <c r="L488" s="23" t="s">
        <v>27</v>
      </c>
      <c r="M488" s="23">
        <f>ROUND('Call Data'!$I488,0)</f>
        <v>4</v>
      </c>
    </row>
    <row r="489" spans="1:13" ht="14.25" customHeight="1" x14ac:dyDescent="0.35">
      <c r="A489" s="23" t="s">
        <v>523</v>
      </c>
      <c r="B489" s="23" t="s">
        <v>58</v>
      </c>
      <c r="C489" s="23">
        <v>115</v>
      </c>
      <c r="D489" s="24" t="str" cm="1">
        <f t="array" ref="D489">_xlfn.IFS(CallData[[#This Row],[Duration]]&lt;=15,"Very short",CallData[[#This Row],[Duration]]&lt;=30,"Short",CallData[[#This Row],[Duration]]&lt;=60,"Medium",CallData[[#This Row],[Duration]]&gt;60,"Long")</f>
        <v>Long</v>
      </c>
      <c r="E489" s="24" t="s">
        <v>24</v>
      </c>
      <c r="F489" s="25">
        <v>45068</v>
      </c>
      <c r="G489" s="26">
        <v>42</v>
      </c>
      <c r="H489" s="26" t="str" cm="1">
        <f t="array" ref="H489">_xlfn.IFS(CallData[[#This Row],[Purchase Amount]]&lt;=50,"Low",CallData[[#This Row],[Purchase Amount]]&lt;=100,"Medium",CallData[[#This Row],[Purchase Amount]]&lt;=150,"High",CallData[[#This Row],[Purchase Amount]]&gt;150,"Very High")</f>
        <v>Low</v>
      </c>
      <c r="I489" s="23">
        <v>4.7</v>
      </c>
      <c r="J489" s="23">
        <f>IF(MONTH('Call Data'!$F489)&lt;=6, YEAR('Call Data'!$F489), YEAR('Call Data'!$F489)+1)</f>
        <v>2023</v>
      </c>
      <c r="K489" s="23" t="str">
        <f>TEXT('Call Data'!$F489,"DDDD")</f>
        <v>Monday</v>
      </c>
      <c r="L489" s="23" t="s">
        <v>14</v>
      </c>
      <c r="M489" s="23">
        <f>ROUND('Call Data'!$I489,0)</f>
        <v>5</v>
      </c>
    </row>
    <row r="490" spans="1:13" ht="14.25" customHeight="1" x14ac:dyDescent="0.35">
      <c r="A490" s="23" t="s">
        <v>524</v>
      </c>
      <c r="B490" s="23" t="s">
        <v>21</v>
      </c>
      <c r="C490" s="23">
        <v>155</v>
      </c>
      <c r="D490" s="24" t="str" cm="1">
        <f t="array" ref="D490">_xlfn.IFS(CallData[[#This Row],[Duration]]&lt;=15,"Very short",CallData[[#This Row],[Duration]]&lt;=30,"Short",CallData[[#This Row],[Duration]]&lt;=60,"Medium",CallData[[#This Row],[Duration]]&gt;60,"Long")</f>
        <v>Long</v>
      </c>
      <c r="E490" s="24" t="s">
        <v>31</v>
      </c>
      <c r="F490" s="25">
        <v>45069</v>
      </c>
      <c r="G490" s="26">
        <v>37</v>
      </c>
      <c r="H490" s="26" t="str" cm="1">
        <f t="array" ref="H490">_xlfn.IFS(CallData[[#This Row],[Purchase Amount]]&lt;=50,"Low",CallData[[#This Row],[Purchase Amount]]&lt;=100,"Medium",CallData[[#This Row],[Purchase Amount]]&lt;=150,"High",CallData[[#This Row],[Purchase Amount]]&gt;150,"Very High")</f>
        <v>Low</v>
      </c>
      <c r="I490" s="23">
        <v>4</v>
      </c>
      <c r="J490" s="23">
        <f>IF(MONTH('Call Data'!$F490)&lt;=6, YEAR('Call Data'!$F490), YEAR('Call Data'!$F490)+1)</f>
        <v>2023</v>
      </c>
      <c r="K490" s="23" t="str">
        <f>TEXT('Call Data'!$F490,"DDDD")</f>
        <v>Tuesday</v>
      </c>
      <c r="L490" s="23" t="s">
        <v>25</v>
      </c>
      <c r="M490" s="23">
        <f>ROUND('Call Data'!$I490,0)</f>
        <v>4</v>
      </c>
    </row>
    <row r="491" spans="1:13" ht="14.25" customHeight="1" x14ac:dyDescent="0.35">
      <c r="A491" s="23" t="s">
        <v>525</v>
      </c>
      <c r="B491" s="23" t="s">
        <v>16</v>
      </c>
      <c r="C491" s="23">
        <v>117</v>
      </c>
      <c r="D491" s="24" t="str" cm="1">
        <f t="array" ref="D491">_xlfn.IFS(CallData[[#This Row],[Duration]]&lt;=15,"Very short",CallData[[#This Row],[Duration]]&lt;=30,"Short",CallData[[#This Row],[Duration]]&lt;=60,"Medium",CallData[[#This Row],[Duration]]&gt;60,"Long")</f>
        <v>Long</v>
      </c>
      <c r="E491" s="24" t="s">
        <v>31</v>
      </c>
      <c r="F491" s="25">
        <v>45069</v>
      </c>
      <c r="G491" s="26">
        <v>88</v>
      </c>
      <c r="H491" s="26" t="str" cm="1">
        <f t="array" ref="H491">_xlfn.IFS(CallData[[#This Row],[Purchase Amount]]&lt;=50,"Low",CallData[[#This Row],[Purchase Amount]]&lt;=100,"Medium",CallData[[#This Row],[Purchase Amount]]&lt;=150,"High",CallData[[#This Row],[Purchase Amount]]&gt;150,"Very High")</f>
        <v>Medium</v>
      </c>
      <c r="I491" s="23">
        <v>4.7</v>
      </c>
      <c r="J491" s="23">
        <f>IF(MONTH('Call Data'!$F491)&lt;=6, YEAR('Call Data'!$F491), YEAR('Call Data'!$F491)+1)</f>
        <v>2023</v>
      </c>
      <c r="K491" s="23" t="str">
        <f>TEXT('Call Data'!$F491,"DDDD")</f>
        <v>Tuesday</v>
      </c>
      <c r="L491" s="23" t="s">
        <v>14</v>
      </c>
      <c r="M491" s="23">
        <f>ROUND('Call Data'!$I491,0)</f>
        <v>5</v>
      </c>
    </row>
    <row r="492" spans="1:13" ht="14.25" customHeight="1" x14ac:dyDescent="0.35">
      <c r="A492" s="23" t="s">
        <v>526</v>
      </c>
      <c r="B492" s="23" t="s">
        <v>88</v>
      </c>
      <c r="C492" s="23">
        <v>63</v>
      </c>
      <c r="D492" s="24" t="str" cm="1">
        <f t="array" ref="D492">_xlfn.IFS(CallData[[#This Row],[Duration]]&lt;=15,"Very short",CallData[[#This Row],[Duration]]&lt;=30,"Short",CallData[[#This Row],[Duration]]&lt;=60,"Medium",CallData[[#This Row],[Duration]]&gt;60,"Long")</f>
        <v>Long</v>
      </c>
      <c r="E492" s="24" t="s">
        <v>31</v>
      </c>
      <c r="F492" s="25">
        <v>45069</v>
      </c>
      <c r="G492" s="26">
        <v>80</v>
      </c>
      <c r="H492" s="26" t="str" cm="1">
        <f t="array" ref="H492">_xlfn.IFS(CallData[[#This Row],[Purchase Amount]]&lt;=50,"Low",CallData[[#This Row],[Purchase Amount]]&lt;=100,"Medium",CallData[[#This Row],[Purchase Amount]]&lt;=150,"High",CallData[[#This Row],[Purchase Amount]]&gt;150,"Very High")</f>
        <v>Medium</v>
      </c>
      <c r="I492" s="23">
        <v>2.5</v>
      </c>
      <c r="J492" s="23">
        <f>IF(MONTH('Call Data'!$F492)&lt;=6, YEAR('Call Data'!$F492), YEAR('Call Data'!$F492)+1)</f>
        <v>2023</v>
      </c>
      <c r="K492" s="23" t="str">
        <f>TEXT('Call Data'!$F492,"DDDD")</f>
        <v>Tuesday</v>
      </c>
      <c r="L492" s="23" t="s">
        <v>14</v>
      </c>
      <c r="M492" s="23">
        <f>ROUND('Call Data'!$I492,0)</f>
        <v>3</v>
      </c>
    </row>
    <row r="493" spans="1:13" ht="14.25" customHeight="1" x14ac:dyDescent="0.35">
      <c r="A493" s="23" t="s">
        <v>527</v>
      </c>
      <c r="B493" s="23" t="s">
        <v>34</v>
      </c>
      <c r="C493" s="23">
        <v>59</v>
      </c>
      <c r="D493" s="24" t="str" cm="1">
        <f t="array" ref="D493">_xlfn.IFS(CallData[[#This Row],[Duration]]&lt;=15,"Very short",CallData[[#This Row],[Duration]]&lt;=30,"Short",CallData[[#This Row],[Duration]]&lt;=60,"Medium",CallData[[#This Row],[Duration]]&gt;60,"Long")</f>
        <v>Medium</v>
      </c>
      <c r="E493" s="24" t="s">
        <v>13</v>
      </c>
      <c r="F493" s="25">
        <v>45070</v>
      </c>
      <c r="G493" s="26">
        <v>123</v>
      </c>
      <c r="H493" s="26" t="str" cm="1">
        <f t="array" ref="H493">_xlfn.IFS(CallData[[#This Row],[Purchase Amount]]&lt;=50,"Low",CallData[[#This Row],[Purchase Amount]]&lt;=100,"Medium",CallData[[#This Row],[Purchase Amount]]&lt;=150,"High",CallData[[#This Row],[Purchase Amount]]&gt;150,"Very High")</f>
        <v>High</v>
      </c>
      <c r="I493" s="23">
        <v>3.6</v>
      </c>
      <c r="J493" s="23">
        <f>IF(MONTH('Call Data'!$F493)&lt;=6, YEAR('Call Data'!$F493), YEAR('Call Data'!$F493)+1)</f>
        <v>2023</v>
      </c>
      <c r="K493" s="23" t="str">
        <f>TEXT('Call Data'!$F493,"DDDD")</f>
        <v>Wednesday</v>
      </c>
      <c r="L493" s="23" t="s">
        <v>27</v>
      </c>
      <c r="M493" s="23">
        <f>ROUND('Call Data'!$I493,0)</f>
        <v>4</v>
      </c>
    </row>
    <row r="494" spans="1:13" ht="14.25" customHeight="1" x14ac:dyDescent="0.35">
      <c r="A494" s="23" t="s">
        <v>528</v>
      </c>
      <c r="B494" s="23" t="s">
        <v>50</v>
      </c>
      <c r="C494" s="23">
        <v>133</v>
      </c>
      <c r="D494" s="24" t="str" cm="1">
        <f t="array" ref="D494">_xlfn.IFS(CallData[[#This Row],[Duration]]&lt;=15,"Very short",CallData[[#This Row],[Duration]]&lt;=30,"Short",CallData[[#This Row],[Duration]]&lt;=60,"Medium",CallData[[#This Row],[Duration]]&gt;60,"Long")</f>
        <v>Long</v>
      </c>
      <c r="E494" s="24" t="s">
        <v>35</v>
      </c>
      <c r="F494" s="25">
        <v>45070</v>
      </c>
      <c r="G494" s="26">
        <v>31</v>
      </c>
      <c r="H494" s="26" t="str" cm="1">
        <f t="array" ref="H494">_xlfn.IFS(CallData[[#This Row],[Purchase Amount]]&lt;=50,"Low",CallData[[#This Row],[Purchase Amount]]&lt;=100,"Medium",CallData[[#This Row],[Purchase Amount]]&lt;=150,"High",CallData[[#This Row],[Purchase Amount]]&gt;150,"Very High")</f>
        <v>Low</v>
      </c>
      <c r="I494" s="23">
        <v>3.7</v>
      </c>
      <c r="J494" s="23">
        <f>IF(MONTH('Call Data'!$F494)&lt;=6, YEAR('Call Data'!$F494), YEAR('Call Data'!$F494)+1)</f>
        <v>2023</v>
      </c>
      <c r="K494" s="23" t="str">
        <f>TEXT('Call Data'!$F494,"DDDD")</f>
        <v>Wednesday</v>
      </c>
      <c r="L494" s="23" t="s">
        <v>25</v>
      </c>
      <c r="M494" s="23">
        <f>ROUND('Call Data'!$I494,0)</f>
        <v>4</v>
      </c>
    </row>
    <row r="495" spans="1:13" ht="14.25" customHeight="1" x14ac:dyDescent="0.35">
      <c r="A495" s="23" t="s">
        <v>529</v>
      </c>
      <c r="B495" s="23" t="s">
        <v>68</v>
      </c>
      <c r="C495" s="23">
        <v>101</v>
      </c>
      <c r="D495" s="24" t="str" cm="1">
        <f t="array" ref="D495">_xlfn.IFS(CallData[[#This Row],[Duration]]&lt;=15,"Very short",CallData[[#This Row],[Duration]]&lt;=30,"Short",CallData[[#This Row],[Duration]]&lt;=60,"Medium",CallData[[#This Row],[Duration]]&gt;60,"Long")</f>
        <v>Long</v>
      </c>
      <c r="E495" s="24" t="s">
        <v>19</v>
      </c>
      <c r="F495" s="25">
        <v>45070</v>
      </c>
      <c r="G495" s="26">
        <v>205</v>
      </c>
      <c r="H495" s="26" t="str" cm="1">
        <f t="array" ref="H495">_xlfn.IFS(CallData[[#This Row],[Purchase Amount]]&lt;=50,"Low",CallData[[#This Row],[Purchase Amount]]&lt;=100,"Medium",CallData[[#This Row],[Purchase Amount]]&lt;=150,"High",CallData[[#This Row],[Purchase Amount]]&gt;150,"Very High")</f>
        <v>Very High</v>
      </c>
      <c r="I495" s="23">
        <v>3.9</v>
      </c>
      <c r="J495" s="23">
        <f>IF(MONTH('Call Data'!$F495)&lt;=6, YEAR('Call Data'!$F495), YEAR('Call Data'!$F495)+1)</f>
        <v>2023</v>
      </c>
      <c r="K495" s="23" t="str">
        <f>TEXT('Call Data'!$F495,"DDDD")</f>
        <v>Wednesday</v>
      </c>
      <c r="L495" s="23" t="s">
        <v>14</v>
      </c>
      <c r="M495" s="23">
        <f>ROUND('Call Data'!$I495,0)</f>
        <v>4</v>
      </c>
    </row>
    <row r="496" spans="1:13" ht="14.25" customHeight="1" x14ac:dyDescent="0.35">
      <c r="A496" s="23" t="s">
        <v>530</v>
      </c>
      <c r="B496" s="23" t="s">
        <v>38</v>
      </c>
      <c r="C496" s="23">
        <v>151</v>
      </c>
      <c r="D496" s="24" t="str" cm="1">
        <f t="array" ref="D496">_xlfn.IFS(CallData[[#This Row],[Duration]]&lt;=15,"Very short",CallData[[#This Row],[Duration]]&lt;=30,"Short",CallData[[#This Row],[Duration]]&lt;=60,"Medium",CallData[[#This Row],[Duration]]&gt;60,"Long")</f>
        <v>Long</v>
      </c>
      <c r="E496" s="24" t="s">
        <v>31</v>
      </c>
      <c r="F496" s="25">
        <v>45071</v>
      </c>
      <c r="G496" s="26">
        <v>123</v>
      </c>
      <c r="H496" s="26" t="str" cm="1">
        <f t="array" ref="H496">_xlfn.IFS(CallData[[#This Row],[Purchase Amount]]&lt;=50,"Low",CallData[[#This Row],[Purchase Amount]]&lt;=100,"Medium",CallData[[#This Row],[Purchase Amount]]&lt;=150,"High",CallData[[#This Row],[Purchase Amount]]&gt;150,"Very High")</f>
        <v>High</v>
      </c>
      <c r="I496" s="23">
        <v>3.7</v>
      </c>
      <c r="J496" s="23">
        <f>IF(MONTH('Call Data'!$F496)&lt;=6, YEAR('Call Data'!$F496), YEAR('Call Data'!$F496)+1)</f>
        <v>2023</v>
      </c>
      <c r="K496" s="23" t="str">
        <f>TEXT('Call Data'!$F496,"DDDD")</f>
        <v>Thursday</v>
      </c>
      <c r="L496" s="23" t="s">
        <v>25</v>
      </c>
      <c r="M496" s="23">
        <f>ROUND('Call Data'!$I496,0)</f>
        <v>4</v>
      </c>
    </row>
    <row r="497" spans="1:13" ht="14.25" customHeight="1" x14ac:dyDescent="0.35">
      <c r="A497" s="23" t="s">
        <v>531</v>
      </c>
      <c r="B497" s="23" t="s">
        <v>23</v>
      </c>
      <c r="C497" s="23">
        <v>146</v>
      </c>
      <c r="D497" s="24" t="str" cm="1">
        <f t="array" ref="D497">_xlfn.IFS(CallData[[#This Row],[Duration]]&lt;=15,"Very short",CallData[[#This Row],[Duration]]&lt;=30,"Short",CallData[[#This Row],[Duration]]&lt;=60,"Medium",CallData[[#This Row],[Duration]]&gt;60,"Long")</f>
        <v>Long</v>
      </c>
      <c r="E497" s="24" t="s">
        <v>35</v>
      </c>
      <c r="F497" s="25">
        <v>45071</v>
      </c>
      <c r="G497" s="26">
        <v>123</v>
      </c>
      <c r="H497" s="26" t="str" cm="1">
        <f t="array" ref="H497">_xlfn.IFS(CallData[[#This Row],[Purchase Amount]]&lt;=50,"Low",CallData[[#This Row],[Purchase Amount]]&lt;=100,"Medium",CallData[[#This Row],[Purchase Amount]]&lt;=150,"High",CallData[[#This Row],[Purchase Amount]]&gt;150,"Very High")</f>
        <v>High</v>
      </c>
      <c r="I497" s="23">
        <v>4.3</v>
      </c>
      <c r="J497" s="23">
        <f>IF(MONTH('Call Data'!$F497)&lt;=6, YEAR('Call Data'!$F497), YEAR('Call Data'!$F497)+1)</f>
        <v>2023</v>
      </c>
      <c r="K497" s="23" t="str">
        <f>TEXT('Call Data'!$F497,"DDDD")</f>
        <v>Thursday</v>
      </c>
      <c r="L497" s="23" t="s">
        <v>25</v>
      </c>
      <c r="M497" s="23">
        <f>ROUND('Call Data'!$I497,0)</f>
        <v>4</v>
      </c>
    </row>
    <row r="498" spans="1:13" ht="14.25" customHeight="1" x14ac:dyDescent="0.35">
      <c r="A498" s="23" t="s">
        <v>532</v>
      </c>
      <c r="B498" s="23" t="s">
        <v>88</v>
      </c>
      <c r="C498" s="23">
        <v>148</v>
      </c>
      <c r="D498" s="24" t="str" cm="1">
        <f t="array" ref="D498">_xlfn.IFS(CallData[[#This Row],[Duration]]&lt;=15,"Very short",CallData[[#This Row],[Duration]]&lt;=30,"Short",CallData[[#This Row],[Duration]]&lt;=60,"Medium",CallData[[#This Row],[Duration]]&gt;60,"Long")</f>
        <v>Long</v>
      </c>
      <c r="E498" s="24" t="s">
        <v>35</v>
      </c>
      <c r="F498" s="25">
        <v>45071</v>
      </c>
      <c r="G498" s="26">
        <v>36</v>
      </c>
      <c r="H498" s="26" t="str" cm="1">
        <f t="array" ref="H498">_xlfn.IFS(CallData[[#This Row],[Purchase Amount]]&lt;=50,"Low",CallData[[#This Row],[Purchase Amount]]&lt;=100,"Medium",CallData[[#This Row],[Purchase Amount]]&lt;=150,"High",CallData[[#This Row],[Purchase Amount]]&gt;150,"Very High")</f>
        <v>Low</v>
      </c>
      <c r="I498" s="23">
        <v>2.9</v>
      </c>
      <c r="J498" s="23">
        <f>IF(MONTH('Call Data'!$F498)&lt;=6, YEAR('Call Data'!$F498), YEAR('Call Data'!$F498)+1)</f>
        <v>2023</v>
      </c>
      <c r="K498" s="23" t="str">
        <f>TEXT('Call Data'!$F498,"DDDD")</f>
        <v>Thursday</v>
      </c>
      <c r="L498" s="23" t="s">
        <v>25</v>
      </c>
      <c r="M498" s="23">
        <f>ROUND('Call Data'!$I498,0)</f>
        <v>3</v>
      </c>
    </row>
    <row r="499" spans="1:13" ht="14.25" customHeight="1" x14ac:dyDescent="0.35">
      <c r="A499" s="23" t="s">
        <v>533</v>
      </c>
      <c r="B499" s="23" t="s">
        <v>38</v>
      </c>
      <c r="C499" s="23">
        <v>81</v>
      </c>
      <c r="D499" s="24" t="str" cm="1">
        <f t="array" ref="D499">_xlfn.IFS(CallData[[#This Row],[Duration]]&lt;=15,"Very short",CallData[[#This Row],[Duration]]&lt;=30,"Short",CallData[[#This Row],[Duration]]&lt;=60,"Medium",CallData[[#This Row],[Duration]]&gt;60,"Long")</f>
        <v>Long</v>
      </c>
      <c r="E499" s="24" t="s">
        <v>35</v>
      </c>
      <c r="F499" s="25">
        <v>45071</v>
      </c>
      <c r="G499" s="26">
        <v>116</v>
      </c>
      <c r="H499" s="26" t="str" cm="1">
        <f t="array" ref="H499">_xlfn.IFS(CallData[[#This Row],[Purchase Amount]]&lt;=50,"Low",CallData[[#This Row],[Purchase Amount]]&lt;=100,"Medium",CallData[[#This Row],[Purchase Amount]]&lt;=150,"High",CallData[[#This Row],[Purchase Amount]]&gt;150,"Very High")</f>
        <v>High</v>
      </c>
      <c r="I499" s="23">
        <v>4.3</v>
      </c>
      <c r="J499" s="23">
        <f>IF(MONTH('Call Data'!$F499)&lt;=6, YEAR('Call Data'!$F499), YEAR('Call Data'!$F499)+1)</f>
        <v>2023</v>
      </c>
      <c r="K499" s="23" t="str">
        <f>TEXT('Call Data'!$F499,"DDDD")</f>
        <v>Thursday</v>
      </c>
      <c r="L499" s="23" t="s">
        <v>14</v>
      </c>
      <c r="M499" s="23">
        <f>ROUND('Call Data'!$I499,0)</f>
        <v>4</v>
      </c>
    </row>
    <row r="500" spans="1:13" ht="14.25" customHeight="1" x14ac:dyDescent="0.35">
      <c r="A500" s="23" t="s">
        <v>534</v>
      </c>
      <c r="B500" s="23" t="s">
        <v>46</v>
      </c>
      <c r="C500" s="23">
        <v>115</v>
      </c>
      <c r="D500" s="24" t="str" cm="1">
        <f t="array" ref="D500">_xlfn.IFS(CallData[[#This Row],[Duration]]&lt;=15,"Very short",CallData[[#This Row],[Duration]]&lt;=30,"Short",CallData[[#This Row],[Duration]]&lt;=60,"Medium",CallData[[#This Row],[Duration]]&gt;60,"Long")</f>
        <v>Long</v>
      </c>
      <c r="E500" s="24" t="s">
        <v>35</v>
      </c>
      <c r="F500" s="25">
        <v>45071</v>
      </c>
      <c r="G500" s="26">
        <v>40</v>
      </c>
      <c r="H500" s="26" t="str" cm="1">
        <f t="array" ref="H500">_xlfn.IFS(CallData[[#This Row],[Purchase Amount]]&lt;=50,"Low",CallData[[#This Row],[Purchase Amount]]&lt;=100,"Medium",CallData[[#This Row],[Purchase Amount]]&lt;=150,"High",CallData[[#This Row],[Purchase Amount]]&gt;150,"Very High")</f>
        <v>Low</v>
      </c>
      <c r="I500" s="23">
        <v>4.9000000000000004</v>
      </c>
      <c r="J500" s="23">
        <f>IF(MONTH('Call Data'!$F500)&lt;=6, YEAR('Call Data'!$F500), YEAR('Call Data'!$F500)+1)</f>
        <v>2023</v>
      </c>
      <c r="K500" s="23" t="str">
        <f>TEXT('Call Data'!$F500,"DDDD")</f>
        <v>Thursday</v>
      </c>
      <c r="L500" s="23" t="s">
        <v>14</v>
      </c>
      <c r="M500" s="23">
        <f>ROUND('Call Data'!$I500,0)</f>
        <v>5</v>
      </c>
    </row>
    <row r="501" spans="1:13" ht="14.25" customHeight="1" x14ac:dyDescent="0.35">
      <c r="A501" s="23" t="s">
        <v>535</v>
      </c>
      <c r="B501" s="23" t="s">
        <v>46</v>
      </c>
      <c r="C501" s="23">
        <v>117</v>
      </c>
      <c r="D501" s="24" t="str" cm="1">
        <f t="array" ref="D501">_xlfn.IFS(CallData[[#This Row],[Duration]]&lt;=15,"Very short",CallData[[#This Row],[Duration]]&lt;=30,"Short",CallData[[#This Row],[Duration]]&lt;=60,"Medium",CallData[[#This Row],[Duration]]&gt;60,"Long")</f>
        <v>Long</v>
      </c>
      <c r="E501" s="24" t="s">
        <v>31</v>
      </c>
      <c r="F501" s="25">
        <v>45071</v>
      </c>
      <c r="G501" s="26">
        <v>40</v>
      </c>
      <c r="H501" s="26" t="str" cm="1">
        <f t="array" ref="H501">_xlfn.IFS(CallData[[#This Row],[Purchase Amount]]&lt;=50,"Low",CallData[[#This Row],[Purchase Amount]]&lt;=100,"Medium",CallData[[#This Row],[Purchase Amount]]&lt;=150,"High",CallData[[#This Row],[Purchase Amount]]&gt;150,"Very High")</f>
        <v>Low</v>
      </c>
      <c r="I501" s="23">
        <v>4</v>
      </c>
      <c r="J501" s="23">
        <f>IF(MONTH('Call Data'!$F501)&lt;=6, YEAR('Call Data'!$F501), YEAR('Call Data'!$F501)+1)</f>
        <v>2023</v>
      </c>
      <c r="K501" s="23" t="str">
        <f>TEXT('Call Data'!$F501,"DDDD")</f>
        <v>Thursday</v>
      </c>
      <c r="L501" s="23" t="s">
        <v>14</v>
      </c>
      <c r="M501" s="23">
        <f>ROUND('Call Data'!$I501,0)</f>
        <v>4</v>
      </c>
    </row>
    <row r="502" spans="1:13" ht="14.25" customHeight="1" x14ac:dyDescent="0.35">
      <c r="A502" s="23" t="s">
        <v>536</v>
      </c>
      <c r="B502" s="23" t="s">
        <v>68</v>
      </c>
      <c r="C502" s="23">
        <v>110</v>
      </c>
      <c r="D502" s="24" t="str" cm="1">
        <f t="array" ref="D502">_xlfn.IFS(CallData[[#This Row],[Duration]]&lt;=15,"Very short",CallData[[#This Row],[Duration]]&lt;=30,"Short",CallData[[#This Row],[Duration]]&lt;=60,"Medium",CallData[[#This Row],[Duration]]&gt;60,"Long")</f>
        <v>Long</v>
      </c>
      <c r="E502" s="24" t="s">
        <v>24</v>
      </c>
      <c r="F502" s="25">
        <v>45072</v>
      </c>
      <c r="G502" s="26">
        <v>82</v>
      </c>
      <c r="H502" s="26" t="str" cm="1">
        <f t="array" ref="H502">_xlfn.IFS(CallData[[#This Row],[Purchase Amount]]&lt;=50,"Low",CallData[[#This Row],[Purchase Amount]]&lt;=100,"Medium",CallData[[#This Row],[Purchase Amount]]&lt;=150,"High",CallData[[#This Row],[Purchase Amount]]&gt;150,"Very High")</f>
        <v>Medium</v>
      </c>
      <c r="I502" s="23">
        <v>4</v>
      </c>
      <c r="J502" s="23">
        <f>IF(MONTH('Call Data'!$F502)&lt;=6, YEAR('Call Data'!$F502), YEAR('Call Data'!$F502)+1)</f>
        <v>2023</v>
      </c>
      <c r="K502" s="23" t="str">
        <f>TEXT('Call Data'!$F502,"DDDD")</f>
        <v>Friday</v>
      </c>
      <c r="L502" s="23" t="s">
        <v>14</v>
      </c>
      <c r="M502" s="23">
        <f>ROUND('Call Data'!$I502,0)</f>
        <v>4</v>
      </c>
    </row>
    <row r="503" spans="1:13" ht="14.25" customHeight="1" x14ac:dyDescent="0.35">
      <c r="A503" s="23" t="s">
        <v>537</v>
      </c>
      <c r="B503" s="23" t="s">
        <v>40</v>
      </c>
      <c r="C503" s="23">
        <v>103</v>
      </c>
      <c r="D503" s="24" t="str" cm="1">
        <f t="array" ref="D503">_xlfn.IFS(CallData[[#This Row],[Duration]]&lt;=15,"Very short",CallData[[#This Row],[Duration]]&lt;=30,"Short",CallData[[#This Row],[Duration]]&lt;=60,"Medium",CallData[[#This Row],[Duration]]&gt;60,"Long")</f>
        <v>Long</v>
      </c>
      <c r="E503" s="24" t="s">
        <v>13</v>
      </c>
      <c r="F503" s="25">
        <v>45072</v>
      </c>
      <c r="G503" s="26">
        <v>62</v>
      </c>
      <c r="H503" s="26" t="str" cm="1">
        <f t="array" ref="H503">_xlfn.IFS(CallData[[#This Row],[Purchase Amount]]&lt;=50,"Low",CallData[[#This Row],[Purchase Amount]]&lt;=100,"Medium",CallData[[#This Row],[Purchase Amount]]&lt;=150,"High",CallData[[#This Row],[Purchase Amount]]&gt;150,"Very High")</f>
        <v>Medium</v>
      </c>
      <c r="I503" s="23">
        <v>3.4</v>
      </c>
      <c r="J503" s="23">
        <f>IF(MONTH('Call Data'!$F503)&lt;=6, YEAR('Call Data'!$F503), YEAR('Call Data'!$F503)+1)</f>
        <v>2023</v>
      </c>
      <c r="K503" s="23" t="str">
        <f>TEXT('Call Data'!$F503,"DDDD")</f>
        <v>Friday</v>
      </c>
      <c r="L503" s="23" t="s">
        <v>14</v>
      </c>
      <c r="M503" s="23">
        <f>ROUND('Call Data'!$I503,0)</f>
        <v>3</v>
      </c>
    </row>
    <row r="504" spans="1:13" ht="14.25" customHeight="1" x14ac:dyDescent="0.35">
      <c r="A504" s="23" t="s">
        <v>538</v>
      </c>
      <c r="B504" s="23" t="s">
        <v>21</v>
      </c>
      <c r="C504" s="23">
        <v>45</v>
      </c>
      <c r="D504" s="24" t="str" cm="1">
        <f t="array" ref="D504">_xlfn.IFS(CallData[[#This Row],[Duration]]&lt;=15,"Very short",CallData[[#This Row],[Duration]]&lt;=30,"Short",CallData[[#This Row],[Duration]]&lt;=60,"Medium",CallData[[#This Row],[Duration]]&gt;60,"Long")</f>
        <v>Medium</v>
      </c>
      <c r="E504" s="24" t="s">
        <v>13</v>
      </c>
      <c r="F504" s="25">
        <v>45072</v>
      </c>
      <c r="G504" s="26">
        <v>135</v>
      </c>
      <c r="H504" s="26" t="str" cm="1">
        <f t="array" ref="H504">_xlfn.IFS(CallData[[#This Row],[Purchase Amount]]&lt;=50,"Low",CallData[[#This Row],[Purchase Amount]]&lt;=100,"Medium",CallData[[#This Row],[Purchase Amount]]&lt;=150,"High",CallData[[#This Row],[Purchase Amount]]&gt;150,"Very High")</f>
        <v>High</v>
      </c>
      <c r="I504" s="23">
        <v>3.9</v>
      </c>
      <c r="J504" s="23">
        <f>IF(MONTH('Call Data'!$F504)&lt;=6, YEAR('Call Data'!$F504), YEAR('Call Data'!$F504)+1)</f>
        <v>2023</v>
      </c>
      <c r="K504" s="23" t="str">
        <f>TEXT('Call Data'!$F504,"DDDD")</f>
        <v>Friday</v>
      </c>
      <c r="L504" s="23" t="s">
        <v>27</v>
      </c>
      <c r="M504" s="23">
        <f>ROUND('Call Data'!$I504,0)</f>
        <v>4</v>
      </c>
    </row>
    <row r="505" spans="1:13" ht="14.25" customHeight="1" x14ac:dyDescent="0.35">
      <c r="A505" s="23" t="s">
        <v>539</v>
      </c>
      <c r="B505" s="23" t="s">
        <v>68</v>
      </c>
      <c r="C505" s="23">
        <v>110</v>
      </c>
      <c r="D505" s="24" t="str" cm="1">
        <f t="array" ref="D505">_xlfn.IFS(CallData[[#This Row],[Duration]]&lt;=15,"Very short",CallData[[#This Row],[Duration]]&lt;=30,"Short",CallData[[#This Row],[Duration]]&lt;=60,"Medium",CallData[[#This Row],[Duration]]&gt;60,"Long")</f>
        <v>Long</v>
      </c>
      <c r="E505" s="24" t="s">
        <v>19</v>
      </c>
      <c r="F505" s="25">
        <v>45072</v>
      </c>
      <c r="G505" s="26">
        <v>155</v>
      </c>
      <c r="H505" s="26" t="str" cm="1">
        <f t="array" ref="H505">_xlfn.IFS(CallData[[#This Row],[Purchase Amount]]&lt;=50,"Low",CallData[[#This Row],[Purchase Amount]]&lt;=100,"Medium",CallData[[#This Row],[Purchase Amount]]&lt;=150,"High",CallData[[#This Row],[Purchase Amount]]&gt;150,"Very High")</f>
        <v>Very High</v>
      </c>
      <c r="I505" s="23">
        <v>2.1</v>
      </c>
      <c r="J505" s="23">
        <f>IF(MONTH('Call Data'!$F505)&lt;=6, YEAR('Call Data'!$F505), YEAR('Call Data'!$F505)+1)</f>
        <v>2023</v>
      </c>
      <c r="K505" s="23" t="str">
        <f>TEXT('Call Data'!$F505,"DDDD")</f>
        <v>Friday</v>
      </c>
      <c r="L505" s="23" t="s">
        <v>14</v>
      </c>
      <c r="M505" s="23">
        <f>ROUND('Call Data'!$I505,0)</f>
        <v>2</v>
      </c>
    </row>
    <row r="506" spans="1:13" ht="14.25" customHeight="1" x14ac:dyDescent="0.35">
      <c r="A506" s="23" t="s">
        <v>540</v>
      </c>
      <c r="B506" s="23" t="s">
        <v>34</v>
      </c>
      <c r="C506" s="23">
        <v>43</v>
      </c>
      <c r="D506" s="24" t="str" cm="1">
        <f t="array" ref="D506">_xlfn.IFS(CallData[[#This Row],[Duration]]&lt;=15,"Very short",CallData[[#This Row],[Duration]]&lt;=30,"Short",CallData[[#This Row],[Duration]]&lt;=60,"Medium",CallData[[#This Row],[Duration]]&gt;60,"Long")</f>
        <v>Medium</v>
      </c>
      <c r="E506" s="24" t="s">
        <v>24</v>
      </c>
      <c r="F506" s="25">
        <v>45072</v>
      </c>
      <c r="G506" s="26">
        <v>37</v>
      </c>
      <c r="H506" s="26" t="str" cm="1">
        <f t="array" ref="H506">_xlfn.IFS(CallData[[#This Row],[Purchase Amount]]&lt;=50,"Low",CallData[[#This Row],[Purchase Amount]]&lt;=100,"Medium",CallData[[#This Row],[Purchase Amount]]&lt;=150,"High",CallData[[#This Row],[Purchase Amount]]&gt;150,"Very High")</f>
        <v>Low</v>
      </c>
      <c r="I506" s="23">
        <v>4.9000000000000004</v>
      </c>
      <c r="J506" s="23">
        <f>IF(MONTH('Call Data'!$F506)&lt;=6, YEAR('Call Data'!$F506), YEAR('Call Data'!$F506)+1)</f>
        <v>2023</v>
      </c>
      <c r="K506" s="23" t="str">
        <f>TEXT('Call Data'!$F506,"DDDD")</f>
        <v>Friday</v>
      </c>
      <c r="L506" s="23" t="s">
        <v>27</v>
      </c>
      <c r="M506" s="23">
        <f>ROUND('Call Data'!$I506,0)</f>
        <v>5</v>
      </c>
    </row>
    <row r="507" spans="1:13" ht="14.25" customHeight="1" x14ac:dyDescent="0.35">
      <c r="A507" s="23" t="s">
        <v>541</v>
      </c>
      <c r="B507" s="23" t="s">
        <v>68</v>
      </c>
      <c r="C507" s="23">
        <v>104</v>
      </c>
      <c r="D507" s="24" t="str" cm="1">
        <f t="array" ref="D507">_xlfn.IFS(CallData[[#This Row],[Duration]]&lt;=15,"Very short",CallData[[#This Row],[Duration]]&lt;=30,"Short",CallData[[#This Row],[Duration]]&lt;=60,"Medium",CallData[[#This Row],[Duration]]&gt;60,"Long")</f>
        <v>Long</v>
      </c>
      <c r="E507" s="24" t="s">
        <v>31</v>
      </c>
      <c r="F507" s="25">
        <v>45073</v>
      </c>
      <c r="G507" s="26">
        <v>56</v>
      </c>
      <c r="H507" s="26" t="str" cm="1">
        <f t="array" ref="H507">_xlfn.IFS(CallData[[#This Row],[Purchase Amount]]&lt;=50,"Low",CallData[[#This Row],[Purchase Amount]]&lt;=100,"Medium",CallData[[#This Row],[Purchase Amount]]&lt;=150,"High",CallData[[#This Row],[Purchase Amount]]&gt;150,"Very High")</f>
        <v>Medium</v>
      </c>
      <c r="I507" s="23">
        <v>3.4</v>
      </c>
      <c r="J507" s="23">
        <f>IF(MONTH('Call Data'!$F507)&lt;=6, YEAR('Call Data'!$F507), YEAR('Call Data'!$F507)+1)</f>
        <v>2023</v>
      </c>
      <c r="K507" s="23" t="str">
        <f>TEXT('Call Data'!$F507,"DDDD")</f>
        <v>Saturday</v>
      </c>
      <c r="L507" s="23" t="s">
        <v>14</v>
      </c>
      <c r="M507" s="23">
        <f>ROUND('Call Data'!$I507,0)</f>
        <v>3</v>
      </c>
    </row>
    <row r="508" spans="1:13" ht="14.25" customHeight="1" x14ac:dyDescent="0.35">
      <c r="A508" s="23" t="s">
        <v>542</v>
      </c>
      <c r="B508" s="23" t="s">
        <v>68</v>
      </c>
      <c r="C508" s="23">
        <v>101</v>
      </c>
      <c r="D508" s="24" t="str" cm="1">
        <f t="array" ref="D508">_xlfn.IFS(CallData[[#This Row],[Duration]]&lt;=15,"Very short",CallData[[#This Row],[Duration]]&lt;=30,"Short",CallData[[#This Row],[Duration]]&lt;=60,"Medium",CallData[[#This Row],[Duration]]&gt;60,"Long")</f>
        <v>Long</v>
      </c>
      <c r="E508" s="24" t="s">
        <v>31</v>
      </c>
      <c r="F508" s="25">
        <v>45073</v>
      </c>
      <c r="G508" s="26">
        <v>185</v>
      </c>
      <c r="H508" s="26" t="str" cm="1">
        <f t="array" ref="H508">_xlfn.IFS(CallData[[#This Row],[Purchase Amount]]&lt;=50,"Low",CallData[[#This Row],[Purchase Amount]]&lt;=100,"Medium",CallData[[#This Row],[Purchase Amount]]&lt;=150,"High",CallData[[#This Row],[Purchase Amount]]&gt;150,"Very High")</f>
        <v>Very High</v>
      </c>
      <c r="I508" s="23">
        <v>5</v>
      </c>
      <c r="J508" s="23">
        <f>IF(MONTH('Call Data'!$F508)&lt;=6, YEAR('Call Data'!$F508), YEAR('Call Data'!$F508)+1)</f>
        <v>2023</v>
      </c>
      <c r="K508" s="23" t="str">
        <f>TEXT('Call Data'!$F508,"DDDD")</f>
        <v>Saturday</v>
      </c>
      <c r="L508" s="23" t="s">
        <v>14</v>
      </c>
      <c r="M508" s="23">
        <f>ROUND('Call Data'!$I508,0)</f>
        <v>5</v>
      </c>
    </row>
    <row r="509" spans="1:13" ht="14.25" customHeight="1" x14ac:dyDescent="0.35">
      <c r="A509" s="23" t="s">
        <v>543</v>
      </c>
      <c r="B509" s="23" t="s">
        <v>12</v>
      </c>
      <c r="C509" s="23">
        <v>55</v>
      </c>
      <c r="D509" s="24" t="str" cm="1">
        <f t="array" ref="D509">_xlfn.IFS(CallData[[#This Row],[Duration]]&lt;=15,"Very short",CallData[[#This Row],[Duration]]&lt;=30,"Short",CallData[[#This Row],[Duration]]&lt;=60,"Medium",CallData[[#This Row],[Duration]]&gt;60,"Long")</f>
        <v>Medium</v>
      </c>
      <c r="E509" s="24" t="s">
        <v>24</v>
      </c>
      <c r="F509" s="25">
        <v>45074</v>
      </c>
      <c r="G509" s="26">
        <v>145</v>
      </c>
      <c r="H509" s="26" t="str" cm="1">
        <f t="array" ref="H509">_xlfn.IFS(CallData[[#This Row],[Purchase Amount]]&lt;=50,"Low",CallData[[#This Row],[Purchase Amount]]&lt;=100,"Medium",CallData[[#This Row],[Purchase Amount]]&lt;=150,"High",CallData[[#This Row],[Purchase Amount]]&gt;150,"Very High")</f>
        <v>High</v>
      </c>
      <c r="I509" s="23">
        <v>4.5</v>
      </c>
      <c r="J509" s="23">
        <f>IF(MONTH('Call Data'!$F509)&lt;=6, YEAR('Call Data'!$F509), YEAR('Call Data'!$F509)+1)</f>
        <v>2023</v>
      </c>
      <c r="K509" s="23" t="str">
        <f>TEXT('Call Data'!$F509,"DDDD")</f>
        <v>Sunday</v>
      </c>
      <c r="L509" s="23" t="s">
        <v>27</v>
      </c>
      <c r="M509" s="23">
        <f>ROUND('Call Data'!$I509,0)</f>
        <v>5</v>
      </c>
    </row>
    <row r="510" spans="1:13" ht="14.25" customHeight="1" x14ac:dyDescent="0.35">
      <c r="A510" s="23" t="s">
        <v>544</v>
      </c>
      <c r="B510" s="23" t="s">
        <v>38</v>
      </c>
      <c r="C510" s="23">
        <v>40</v>
      </c>
      <c r="D510" s="24" t="str" cm="1">
        <f t="array" ref="D510">_xlfn.IFS(CallData[[#This Row],[Duration]]&lt;=15,"Very short",CallData[[#This Row],[Duration]]&lt;=30,"Short",CallData[[#This Row],[Duration]]&lt;=60,"Medium",CallData[[#This Row],[Duration]]&gt;60,"Long")</f>
        <v>Medium</v>
      </c>
      <c r="E510" s="24" t="s">
        <v>13</v>
      </c>
      <c r="F510" s="25">
        <v>45074</v>
      </c>
      <c r="G510" s="26">
        <v>116</v>
      </c>
      <c r="H510" s="26" t="str" cm="1">
        <f t="array" ref="H510">_xlfn.IFS(CallData[[#This Row],[Purchase Amount]]&lt;=50,"Low",CallData[[#This Row],[Purchase Amount]]&lt;=100,"Medium",CallData[[#This Row],[Purchase Amount]]&lt;=150,"High",CallData[[#This Row],[Purchase Amount]]&gt;150,"Very High")</f>
        <v>High</v>
      </c>
      <c r="I510" s="23">
        <v>2.6</v>
      </c>
      <c r="J510" s="23">
        <f>IF(MONTH('Call Data'!$F510)&lt;=6, YEAR('Call Data'!$F510), YEAR('Call Data'!$F510)+1)</f>
        <v>2023</v>
      </c>
      <c r="K510" s="23" t="str">
        <f>TEXT('Call Data'!$F510,"DDDD")</f>
        <v>Sunday</v>
      </c>
      <c r="L510" s="23" t="s">
        <v>27</v>
      </c>
      <c r="M510" s="23">
        <f>ROUND('Call Data'!$I510,0)</f>
        <v>3</v>
      </c>
    </row>
    <row r="511" spans="1:13" ht="14.25" customHeight="1" x14ac:dyDescent="0.35">
      <c r="A511" s="23" t="s">
        <v>545</v>
      </c>
      <c r="B511" s="23" t="s">
        <v>34</v>
      </c>
      <c r="C511" s="23">
        <v>122</v>
      </c>
      <c r="D511" s="24" t="str" cm="1">
        <f t="array" ref="D511">_xlfn.IFS(CallData[[#This Row],[Duration]]&lt;=15,"Very short",CallData[[#This Row],[Duration]]&lt;=30,"Short",CallData[[#This Row],[Duration]]&lt;=60,"Medium",CallData[[#This Row],[Duration]]&gt;60,"Long")</f>
        <v>Long</v>
      </c>
      <c r="E511" s="24" t="s">
        <v>35</v>
      </c>
      <c r="F511" s="25">
        <v>45074</v>
      </c>
      <c r="G511" s="26">
        <v>45</v>
      </c>
      <c r="H511" s="26" t="str" cm="1">
        <f t="array" ref="H511">_xlfn.IFS(CallData[[#This Row],[Purchase Amount]]&lt;=50,"Low",CallData[[#This Row],[Purchase Amount]]&lt;=100,"Medium",CallData[[#This Row],[Purchase Amount]]&lt;=150,"High",CallData[[#This Row],[Purchase Amount]]&gt;150,"Very High")</f>
        <v>Low</v>
      </c>
      <c r="I511" s="23">
        <v>4.2</v>
      </c>
      <c r="J511" s="23">
        <f>IF(MONTH('Call Data'!$F511)&lt;=6, YEAR('Call Data'!$F511), YEAR('Call Data'!$F511)+1)</f>
        <v>2023</v>
      </c>
      <c r="K511" s="23" t="str">
        <f>TEXT('Call Data'!$F511,"DDDD")</f>
        <v>Sunday</v>
      </c>
      <c r="L511" s="23" t="s">
        <v>25</v>
      </c>
      <c r="M511" s="23">
        <f>ROUND('Call Data'!$I511,0)</f>
        <v>4</v>
      </c>
    </row>
    <row r="512" spans="1:13" ht="14.25" customHeight="1" x14ac:dyDescent="0.35">
      <c r="A512" s="23" t="s">
        <v>546</v>
      </c>
      <c r="B512" s="23" t="s">
        <v>23</v>
      </c>
      <c r="C512" s="23">
        <v>98</v>
      </c>
      <c r="D512" s="24" t="str" cm="1">
        <f t="array" ref="D512">_xlfn.IFS(CallData[[#This Row],[Duration]]&lt;=15,"Very short",CallData[[#This Row],[Duration]]&lt;=30,"Short",CallData[[#This Row],[Duration]]&lt;=60,"Medium",CallData[[#This Row],[Duration]]&gt;60,"Long")</f>
        <v>Long</v>
      </c>
      <c r="E512" s="24" t="s">
        <v>31</v>
      </c>
      <c r="F512" s="25">
        <v>45075</v>
      </c>
      <c r="G512" s="26">
        <v>35</v>
      </c>
      <c r="H512" s="26" t="str" cm="1">
        <f t="array" ref="H512">_xlfn.IFS(CallData[[#This Row],[Purchase Amount]]&lt;=50,"Low",CallData[[#This Row],[Purchase Amount]]&lt;=100,"Medium",CallData[[#This Row],[Purchase Amount]]&lt;=150,"High",CallData[[#This Row],[Purchase Amount]]&gt;150,"Very High")</f>
        <v>Low</v>
      </c>
      <c r="I512" s="23">
        <v>4.5</v>
      </c>
      <c r="J512" s="23">
        <f>IF(MONTH('Call Data'!$F512)&lt;=6, YEAR('Call Data'!$F512), YEAR('Call Data'!$F512)+1)</f>
        <v>2023</v>
      </c>
      <c r="K512" s="23" t="str">
        <f>TEXT('Call Data'!$F512,"DDDD")</f>
        <v>Monday</v>
      </c>
      <c r="L512" s="23" t="s">
        <v>14</v>
      </c>
      <c r="M512" s="23">
        <f>ROUND('Call Data'!$I512,0)</f>
        <v>5</v>
      </c>
    </row>
    <row r="513" spans="1:13" ht="14.25" customHeight="1" x14ac:dyDescent="0.35">
      <c r="A513" s="23" t="s">
        <v>547</v>
      </c>
      <c r="B513" s="23" t="s">
        <v>46</v>
      </c>
      <c r="C513" s="23">
        <v>110</v>
      </c>
      <c r="D513" s="24" t="str" cm="1">
        <f t="array" ref="D513">_xlfn.IFS(CallData[[#This Row],[Duration]]&lt;=15,"Very short",CallData[[#This Row],[Duration]]&lt;=30,"Short",CallData[[#This Row],[Duration]]&lt;=60,"Medium",CallData[[#This Row],[Duration]]&gt;60,"Long")</f>
        <v>Long</v>
      </c>
      <c r="E513" s="24" t="s">
        <v>13</v>
      </c>
      <c r="F513" s="25">
        <v>45075</v>
      </c>
      <c r="G513" s="26">
        <v>100</v>
      </c>
      <c r="H513" s="26" t="str" cm="1">
        <f t="array" ref="H513">_xlfn.IFS(CallData[[#This Row],[Purchase Amount]]&lt;=50,"Low",CallData[[#This Row],[Purchase Amount]]&lt;=100,"Medium",CallData[[#This Row],[Purchase Amount]]&lt;=150,"High",CallData[[#This Row],[Purchase Amount]]&gt;150,"Very High")</f>
        <v>Medium</v>
      </c>
      <c r="I513" s="23">
        <v>4.4000000000000004</v>
      </c>
      <c r="J513" s="23">
        <f>IF(MONTH('Call Data'!$F513)&lt;=6, YEAR('Call Data'!$F513), YEAR('Call Data'!$F513)+1)</f>
        <v>2023</v>
      </c>
      <c r="K513" s="23" t="str">
        <f>TEXT('Call Data'!$F513,"DDDD")</f>
        <v>Monday</v>
      </c>
      <c r="L513" s="23" t="s">
        <v>14</v>
      </c>
      <c r="M513" s="23">
        <f>ROUND('Call Data'!$I513,0)</f>
        <v>4</v>
      </c>
    </row>
    <row r="514" spans="1:13" ht="14.25" customHeight="1" x14ac:dyDescent="0.35">
      <c r="A514" s="23" t="s">
        <v>548</v>
      </c>
      <c r="B514" s="23" t="s">
        <v>46</v>
      </c>
      <c r="C514" s="23">
        <v>62</v>
      </c>
      <c r="D514" s="24" t="str" cm="1">
        <f t="array" ref="D514">_xlfn.IFS(CallData[[#This Row],[Duration]]&lt;=15,"Very short",CallData[[#This Row],[Duration]]&lt;=30,"Short",CallData[[#This Row],[Duration]]&lt;=60,"Medium",CallData[[#This Row],[Duration]]&gt;60,"Long")</f>
        <v>Long</v>
      </c>
      <c r="E514" s="24" t="s">
        <v>24</v>
      </c>
      <c r="F514" s="25">
        <v>45076</v>
      </c>
      <c r="G514" s="26">
        <v>125</v>
      </c>
      <c r="H514" s="26" t="str" cm="1">
        <f t="array" ref="H514">_xlfn.IFS(CallData[[#This Row],[Purchase Amount]]&lt;=50,"Low",CallData[[#This Row],[Purchase Amount]]&lt;=100,"Medium",CallData[[#This Row],[Purchase Amount]]&lt;=150,"High",CallData[[#This Row],[Purchase Amount]]&gt;150,"Very High")</f>
        <v>High</v>
      </c>
      <c r="I514" s="23">
        <v>3.5</v>
      </c>
      <c r="J514" s="23">
        <f>IF(MONTH('Call Data'!$F514)&lt;=6, YEAR('Call Data'!$F514), YEAR('Call Data'!$F514)+1)</f>
        <v>2023</v>
      </c>
      <c r="K514" s="23" t="str">
        <f>TEXT('Call Data'!$F514,"DDDD")</f>
        <v>Tuesday</v>
      </c>
      <c r="L514" s="23" t="s">
        <v>14</v>
      </c>
      <c r="M514" s="23">
        <f>ROUND('Call Data'!$I514,0)</f>
        <v>4</v>
      </c>
    </row>
    <row r="515" spans="1:13" ht="14.25" customHeight="1" x14ac:dyDescent="0.35">
      <c r="A515" s="23" t="s">
        <v>549</v>
      </c>
      <c r="B515" s="23" t="s">
        <v>34</v>
      </c>
      <c r="C515" s="23">
        <v>134</v>
      </c>
      <c r="D515" s="24" t="str" cm="1">
        <f t="array" ref="D515">_xlfn.IFS(CallData[[#This Row],[Duration]]&lt;=15,"Very short",CallData[[#This Row],[Duration]]&lt;=30,"Short",CallData[[#This Row],[Duration]]&lt;=60,"Medium",CallData[[#This Row],[Duration]]&gt;60,"Long")</f>
        <v>Long</v>
      </c>
      <c r="E515" s="24" t="s">
        <v>35</v>
      </c>
      <c r="F515" s="25">
        <v>45076</v>
      </c>
      <c r="G515" s="26">
        <v>120</v>
      </c>
      <c r="H515" s="26" t="str" cm="1">
        <f t="array" ref="H515">_xlfn.IFS(CallData[[#This Row],[Purchase Amount]]&lt;=50,"Low",CallData[[#This Row],[Purchase Amount]]&lt;=100,"Medium",CallData[[#This Row],[Purchase Amount]]&lt;=150,"High",CallData[[#This Row],[Purchase Amount]]&gt;150,"Very High")</f>
        <v>High</v>
      </c>
      <c r="I515" s="23">
        <v>3</v>
      </c>
      <c r="J515" s="23">
        <f>IF(MONTH('Call Data'!$F515)&lt;=6, YEAR('Call Data'!$F515), YEAR('Call Data'!$F515)+1)</f>
        <v>2023</v>
      </c>
      <c r="K515" s="23" t="str">
        <f>TEXT('Call Data'!$F515,"DDDD")</f>
        <v>Tuesday</v>
      </c>
      <c r="L515" s="23" t="s">
        <v>25</v>
      </c>
      <c r="M515" s="23">
        <f>ROUND('Call Data'!$I515,0)</f>
        <v>3</v>
      </c>
    </row>
    <row r="516" spans="1:13" ht="14.25" customHeight="1" x14ac:dyDescent="0.35">
      <c r="A516" s="23" t="s">
        <v>550</v>
      </c>
      <c r="B516" s="23" t="s">
        <v>55</v>
      </c>
      <c r="C516" s="23">
        <v>94</v>
      </c>
      <c r="D516" s="24" t="str" cm="1">
        <f t="array" ref="D516">_xlfn.IFS(CallData[[#This Row],[Duration]]&lt;=15,"Very short",CallData[[#This Row],[Duration]]&lt;=30,"Short",CallData[[#This Row],[Duration]]&lt;=60,"Medium",CallData[[#This Row],[Duration]]&gt;60,"Long")</f>
        <v>Long</v>
      </c>
      <c r="E516" s="24" t="s">
        <v>19</v>
      </c>
      <c r="F516" s="25">
        <v>45076</v>
      </c>
      <c r="G516" s="26">
        <v>180</v>
      </c>
      <c r="H516" s="26" t="str" cm="1">
        <f t="array" ref="H516">_xlfn.IFS(CallData[[#This Row],[Purchase Amount]]&lt;=50,"Low",CallData[[#This Row],[Purchase Amount]]&lt;=100,"Medium",CallData[[#This Row],[Purchase Amount]]&lt;=150,"High",CallData[[#This Row],[Purchase Amount]]&gt;150,"Very High")</f>
        <v>Very High</v>
      </c>
      <c r="I516" s="23">
        <v>4.7</v>
      </c>
      <c r="J516" s="23">
        <f>IF(MONTH('Call Data'!$F516)&lt;=6, YEAR('Call Data'!$F516), YEAR('Call Data'!$F516)+1)</f>
        <v>2023</v>
      </c>
      <c r="K516" s="23" t="str">
        <f>TEXT('Call Data'!$F516,"DDDD")</f>
        <v>Tuesday</v>
      </c>
      <c r="L516" s="23" t="s">
        <v>14</v>
      </c>
      <c r="M516" s="23">
        <f>ROUND('Call Data'!$I516,0)</f>
        <v>5</v>
      </c>
    </row>
    <row r="517" spans="1:13" ht="14.25" customHeight="1" x14ac:dyDescent="0.35">
      <c r="A517" s="23" t="s">
        <v>551</v>
      </c>
      <c r="B517" s="23" t="s">
        <v>29</v>
      </c>
      <c r="C517" s="23">
        <v>63</v>
      </c>
      <c r="D517" s="24" t="str" cm="1">
        <f t="array" ref="D517">_xlfn.IFS(CallData[[#This Row],[Duration]]&lt;=15,"Very short",CallData[[#This Row],[Duration]]&lt;=30,"Short",CallData[[#This Row],[Duration]]&lt;=60,"Medium",CallData[[#This Row],[Duration]]&gt;60,"Long")</f>
        <v>Long</v>
      </c>
      <c r="E517" s="24" t="s">
        <v>13</v>
      </c>
      <c r="F517" s="25">
        <v>45076</v>
      </c>
      <c r="G517" s="26">
        <v>44</v>
      </c>
      <c r="H517" s="26" t="str" cm="1">
        <f t="array" ref="H517">_xlfn.IFS(CallData[[#This Row],[Purchase Amount]]&lt;=50,"Low",CallData[[#This Row],[Purchase Amount]]&lt;=100,"Medium",CallData[[#This Row],[Purchase Amount]]&lt;=150,"High",CallData[[#This Row],[Purchase Amount]]&gt;150,"Very High")</f>
        <v>Low</v>
      </c>
      <c r="I517" s="23">
        <v>3</v>
      </c>
      <c r="J517" s="23">
        <f>IF(MONTH('Call Data'!$F517)&lt;=6, YEAR('Call Data'!$F517), YEAR('Call Data'!$F517)+1)</f>
        <v>2023</v>
      </c>
      <c r="K517" s="23" t="str">
        <f>TEXT('Call Data'!$F517,"DDDD")</f>
        <v>Tuesday</v>
      </c>
      <c r="L517" s="23" t="s">
        <v>14</v>
      </c>
      <c r="M517" s="23">
        <f>ROUND('Call Data'!$I517,0)</f>
        <v>3</v>
      </c>
    </row>
    <row r="518" spans="1:13" ht="14.25" customHeight="1" x14ac:dyDescent="0.35">
      <c r="A518" s="23" t="s">
        <v>552</v>
      </c>
      <c r="B518" s="23" t="s">
        <v>50</v>
      </c>
      <c r="C518" s="23">
        <v>95</v>
      </c>
      <c r="D518" s="24" t="str" cm="1">
        <f t="array" ref="D518">_xlfn.IFS(CallData[[#This Row],[Duration]]&lt;=15,"Very short",CallData[[#This Row],[Duration]]&lt;=30,"Short",CallData[[#This Row],[Duration]]&lt;=60,"Medium",CallData[[#This Row],[Duration]]&gt;60,"Long")</f>
        <v>Long</v>
      </c>
      <c r="E518" s="24" t="s">
        <v>35</v>
      </c>
      <c r="F518" s="25">
        <v>45076</v>
      </c>
      <c r="G518" s="26">
        <v>86</v>
      </c>
      <c r="H518" s="26" t="str" cm="1">
        <f t="array" ref="H518">_xlfn.IFS(CallData[[#This Row],[Purchase Amount]]&lt;=50,"Low",CallData[[#This Row],[Purchase Amount]]&lt;=100,"Medium",CallData[[#This Row],[Purchase Amount]]&lt;=150,"High",CallData[[#This Row],[Purchase Amount]]&gt;150,"Very High")</f>
        <v>Medium</v>
      </c>
      <c r="I518" s="23">
        <v>3.6</v>
      </c>
      <c r="J518" s="23">
        <f>IF(MONTH('Call Data'!$F518)&lt;=6, YEAR('Call Data'!$F518), YEAR('Call Data'!$F518)+1)</f>
        <v>2023</v>
      </c>
      <c r="K518" s="23" t="str">
        <f>TEXT('Call Data'!$F518,"DDDD")</f>
        <v>Tuesday</v>
      </c>
      <c r="L518" s="23" t="s">
        <v>14</v>
      </c>
      <c r="M518" s="23">
        <f>ROUND('Call Data'!$I518,0)</f>
        <v>4</v>
      </c>
    </row>
    <row r="519" spans="1:13" ht="14.25" customHeight="1" x14ac:dyDescent="0.35">
      <c r="A519" s="23" t="s">
        <v>553</v>
      </c>
      <c r="B519" s="23" t="s">
        <v>34</v>
      </c>
      <c r="C519" s="23">
        <v>106</v>
      </c>
      <c r="D519" s="24" t="str" cm="1">
        <f t="array" ref="D519">_xlfn.IFS(CallData[[#This Row],[Duration]]&lt;=15,"Very short",CallData[[#This Row],[Duration]]&lt;=30,"Short",CallData[[#This Row],[Duration]]&lt;=60,"Medium",CallData[[#This Row],[Duration]]&gt;60,"Long")</f>
        <v>Long</v>
      </c>
      <c r="E519" s="24" t="s">
        <v>35</v>
      </c>
      <c r="F519" s="25">
        <v>45077</v>
      </c>
      <c r="G519" s="26">
        <v>120</v>
      </c>
      <c r="H519" s="26" t="str" cm="1">
        <f t="array" ref="H519">_xlfn.IFS(CallData[[#This Row],[Purchase Amount]]&lt;=50,"Low",CallData[[#This Row],[Purchase Amount]]&lt;=100,"Medium",CallData[[#This Row],[Purchase Amount]]&lt;=150,"High",CallData[[#This Row],[Purchase Amount]]&gt;150,"Very High")</f>
        <v>High</v>
      </c>
      <c r="I519" s="23">
        <v>4.0999999999999996</v>
      </c>
      <c r="J519" s="23">
        <f>IF(MONTH('Call Data'!$F519)&lt;=6, YEAR('Call Data'!$F519), YEAR('Call Data'!$F519)+1)</f>
        <v>2023</v>
      </c>
      <c r="K519" s="23" t="str">
        <f>TEXT('Call Data'!$F519,"DDDD")</f>
        <v>Wednesday</v>
      </c>
      <c r="L519" s="23" t="s">
        <v>14</v>
      </c>
      <c r="M519" s="23">
        <f>ROUND('Call Data'!$I519,0)</f>
        <v>4</v>
      </c>
    </row>
    <row r="520" spans="1:13" ht="14.25" customHeight="1" x14ac:dyDescent="0.35">
      <c r="A520" s="23" t="s">
        <v>554</v>
      </c>
      <c r="B520" s="23" t="s">
        <v>21</v>
      </c>
      <c r="C520" s="23">
        <v>94</v>
      </c>
      <c r="D520" s="24" t="str" cm="1">
        <f t="array" ref="D520">_xlfn.IFS(CallData[[#This Row],[Duration]]&lt;=15,"Very short",CallData[[#This Row],[Duration]]&lt;=30,"Short",CallData[[#This Row],[Duration]]&lt;=60,"Medium",CallData[[#This Row],[Duration]]&gt;60,"Long")</f>
        <v>Long</v>
      </c>
      <c r="E520" s="24" t="s">
        <v>19</v>
      </c>
      <c r="F520" s="25">
        <v>45077</v>
      </c>
      <c r="G520" s="26">
        <v>100</v>
      </c>
      <c r="H520" s="26" t="str" cm="1">
        <f t="array" ref="H520">_xlfn.IFS(CallData[[#This Row],[Purchase Amount]]&lt;=50,"Low",CallData[[#This Row],[Purchase Amount]]&lt;=100,"Medium",CallData[[#This Row],[Purchase Amount]]&lt;=150,"High",CallData[[#This Row],[Purchase Amount]]&gt;150,"Very High")</f>
        <v>Medium</v>
      </c>
      <c r="I520" s="23">
        <v>3.7</v>
      </c>
      <c r="J520" s="23">
        <f>IF(MONTH('Call Data'!$F520)&lt;=6, YEAR('Call Data'!$F520), YEAR('Call Data'!$F520)+1)</f>
        <v>2023</v>
      </c>
      <c r="K520" s="23" t="str">
        <f>TEXT('Call Data'!$F520,"DDDD")</f>
        <v>Wednesday</v>
      </c>
      <c r="L520" s="23" t="s">
        <v>14</v>
      </c>
      <c r="M520" s="23">
        <f>ROUND('Call Data'!$I520,0)</f>
        <v>4</v>
      </c>
    </row>
    <row r="521" spans="1:13" ht="14.25" customHeight="1" x14ac:dyDescent="0.35">
      <c r="A521" s="23" t="s">
        <v>555</v>
      </c>
      <c r="B521" s="23" t="s">
        <v>21</v>
      </c>
      <c r="C521" s="23">
        <v>51</v>
      </c>
      <c r="D521" s="24" t="str" cm="1">
        <f t="array" ref="D521">_xlfn.IFS(CallData[[#This Row],[Duration]]&lt;=15,"Very short",CallData[[#This Row],[Duration]]&lt;=30,"Short",CallData[[#This Row],[Duration]]&lt;=60,"Medium",CallData[[#This Row],[Duration]]&gt;60,"Long")</f>
        <v>Medium</v>
      </c>
      <c r="E521" s="24" t="s">
        <v>19</v>
      </c>
      <c r="F521" s="25">
        <v>45078</v>
      </c>
      <c r="G521" s="26">
        <v>108</v>
      </c>
      <c r="H521" s="26" t="str" cm="1">
        <f t="array" ref="H521">_xlfn.IFS(CallData[[#This Row],[Purchase Amount]]&lt;=50,"Low",CallData[[#This Row],[Purchase Amount]]&lt;=100,"Medium",CallData[[#This Row],[Purchase Amount]]&lt;=150,"High",CallData[[#This Row],[Purchase Amount]]&gt;150,"Very High")</f>
        <v>High</v>
      </c>
      <c r="I521" s="23">
        <v>4.5</v>
      </c>
      <c r="J521" s="23">
        <f>IF(MONTH('Call Data'!$F521)&lt;=6, YEAR('Call Data'!$F521), YEAR('Call Data'!$F521)+1)</f>
        <v>2023</v>
      </c>
      <c r="K521" s="23" t="str">
        <f>TEXT('Call Data'!$F521,"DDDD")</f>
        <v>Thursday</v>
      </c>
      <c r="L521" s="23" t="s">
        <v>27</v>
      </c>
      <c r="M521" s="23">
        <f>ROUND('Call Data'!$I521,0)</f>
        <v>5</v>
      </c>
    </row>
    <row r="522" spans="1:13" ht="14.25" customHeight="1" x14ac:dyDescent="0.35">
      <c r="A522" s="23" t="s">
        <v>556</v>
      </c>
      <c r="B522" s="23" t="s">
        <v>88</v>
      </c>
      <c r="C522" s="23">
        <v>39</v>
      </c>
      <c r="D522" s="24" t="str" cm="1">
        <f t="array" ref="D522">_xlfn.IFS(CallData[[#This Row],[Duration]]&lt;=15,"Very short",CallData[[#This Row],[Duration]]&lt;=30,"Short",CallData[[#This Row],[Duration]]&lt;=60,"Medium",CallData[[#This Row],[Duration]]&gt;60,"Long")</f>
        <v>Medium</v>
      </c>
      <c r="E522" s="24" t="s">
        <v>19</v>
      </c>
      <c r="F522" s="25">
        <v>45078</v>
      </c>
      <c r="G522" s="26">
        <v>46</v>
      </c>
      <c r="H522" s="26" t="str" cm="1">
        <f t="array" ref="H522">_xlfn.IFS(CallData[[#This Row],[Purchase Amount]]&lt;=50,"Low",CallData[[#This Row],[Purchase Amount]]&lt;=100,"Medium",CallData[[#This Row],[Purchase Amount]]&lt;=150,"High",CallData[[#This Row],[Purchase Amount]]&gt;150,"Very High")</f>
        <v>Low</v>
      </c>
      <c r="I522" s="23">
        <v>4.5999999999999996</v>
      </c>
      <c r="J522" s="23">
        <f>IF(MONTH('Call Data'!$F522)&lt;=6, YEAR('Call Data'!$F522), YEAR('Call Data'!$F522)+1)</f>
        <v>2023</v>
      </c>
      <c r="K522" s="23" t="str">
        <f>TEXT('Call Data'!$F522,"DDDD")</f>
        <v>Thursday</v>
      </c>
      <c r="L522" s="23" t="s">
        <v>27</v>
      </c>
      <c r="M522" s="23">
        <f>ROUND('Call Data'!$I522,0)</f>
        <v>5</v>
      </c>
    </row>
    <row r="523" spans="1:13" ht="14.25" customHeight="1" x14ac:dyDescent="0.35">
      <c r="A523" s="23" t="s">
        <v>557</v>
      </c>
      <c r="B523" s="23" t="s">
        <v>38</v>
      </c>
      <c r="C523" s="23">
        <v>111</v>
      </c>
      <c r="D523" s="24" t="str" cm="1">
        <f t="array" ref="D523">_xlfn.IFS(CallData[[#This Row],[Duration]]&lt;=15,"Very short",CallData[[#This Row],[Duration]]&lt;=30,"Short",CallData[[#This Row],[Duration]]&lt;=60,"Medium",CallData[[#This Row],[Duration]]&gt;60,"Long")</f>
        <v>Long</v>
      </c>
      <c r="E523" s="24" t="s">
        <v>35</v>
      </c>
      <c r="F523" s="25">
        <v>45078</v>
      </c>
      <c r="G523" s="26">
        <v>210</v>
      </c>
      <c r="H523" s="26" t="str" cm="1">
        <f t="array" ref="H523">_xlfn.IFS(CallData[[#This Row],[Purchase Amount]]&lt;=50,"Low",CallData[[#This Row],[Purchase Amount]]&lt;=100,"Medium",CallData[[#This Row],[Purchase Amount]]&lt;=150,"High",CallData[[#This Row],[Purchase Amount]]&gt;150,"Very High")</f>
        <v>Very High</v>
      </c>
      <c r="I523" s="23">
        <v>4.3</v>
      </c>
      <c r="J523" s="23">
        <f>IF(MONTH('Call Data'!$F523)&lt;=6, YEAR('Call Data'!$F523), YEAR('Call Data'!$F523)+1)</f>
        <v>2023</v>
      </c>
      <c r="K523" s="23" t="str">
        <f>TEXT('Call Data'!$F523,"DDDD")</f>
        <v>Thursday</v>
      </c>
      <c r="L523" s="23" t="s">
        <v>14</v>
      </c>
      <c r="M523" s="23">
        <f>ROUND('Call Data'!$I523,0)</f>
        <v>4</v>
      </c>
    </row>
    <row r="524" spans="1:13" ht="14.25" customHeight="1" x14ac:dyDescent="0.35">
      <c r="A524" s="23" t="s">
        <v>558</v>
      </c>
      <c r="B524" s="23" t="s">
        <v>58</v>
      </c>
      <c r="C524" s="23">
        <v>141</v>
      </c>
      <c r="D524" s="24" t="str" cm="1">
        <f t="array" ref="D524">_xlfn.IFS(CallData[[#This Row],[Duration]]&lt;=15,"Very short",CallData[[#This Row],[Duration]]&lt;=30,"Short",CallData[[#This Row],[Duration]]&lt;=60,"Medium",CallData[[#This Row],[Duration]]&gt;60,"Long")</f>
        <v>Long</v>
      </c>
      <c r="E524" s="24" t="s">
        <v>24</v>
      </c>
      <c r="F524" s="25">
        <v>45080</v>
      </c>
      <c r="G524" s="26">
        <v>54</v>
      </c>
      <c r="H524" s="26" t="str" cm="1">
        <f t="array" ref="H524">_xlfn.IFS(CallData[[#This Row],[Purchase Amount]]&lt;=50,"Low",CallData[[#This Row],[Purchase Amount]]&lt;=100,"Medium",CallData[[#This Row],[Purchase Amount]]&lt;=150,"High",CallData[[#This Row],[Purchase Amount]]&gt;150,"Very High")</f>
        <v>Medium</v>
      </c>
      <c r="I524" s="23">
        <v>4.8</v>
      </c>
      <c r="J524" s="23">
        <f>IF(MONTH('Call Data'!$F524)&lt;=6, YEAR('Call Data'!$F524), YEAR('Call Data'!$F524)+1)</f>
        <v>2023</v>
      </c>
      <c r="K524" s="23" t="str">
        <f>TEXT('Call Data'!$F524,"DDDD")</f>
        <v>Saturday</v>
      </c>
      <c r="L524" s="23" t="s">
        <v>25</v>
      </c>
      <c r="M524" s="23">
        <f>ROUND('Call Data'!$I524,0)</f>
        <v>5</v>
      </c>
    </row>
    <row r="525" spans="1:13" ht="14.25" customHeight="1" x14ac:dyDescent="0.35">
      <c r="A525" s="23" t="s">
        <v>559</v>
      </c>
      <c r="B525" s="23" t="s">
        <v>29</v>
      </c>
      <c r="C525" s="23">
        <v>147</v>
      </c>
      <c r="D525" s="24" t="str" cm="1">
        <f t="array" ref="D525">_xlfn.IFS(CallData[[#This Row],[Duration]]&lt;=15,"Very short",CallData[[#This Row],[Duration]]&lt;=30,"Short",CallData[[#This Row],[Duration]]&lt;=60,"Medium",CallData[[#This Row],[Duration]]&gt;60,"Long")</f>
        <v>Long</v>
      </c>
      <c r="E525" s="24" t="s">
        <v>35</v>
      </c>
      <c r="F525" s="25">
        <v>45080</v>
      </c>
      <c r="G525" s="26">
        <v>115</v>
      </c>
      <c r="H525" s="26" t="str" cm="1">
        <f t="array" ref="H525">_xlfn.IFS(CallData[[#This Row],[Purchase Amount]]&lt;=50,"Low",CallData[[#This Row],[Purchase Amount]]&lt;=100,"Medium",CallData[[#This Row],[Purchase Amount]]&lt;=150,"High",CallData[[#This Row],[Purchase Amount]]&gt;150,"Very High")</f>
        <v>High</v>
      </c>
      <c r="I525" s="23">
        <v>4.7</v>
      </c>
      <c r="J525" s="23">
        <f>IF(MONTH('Call Data'!$F525)&lt;=6, YEAR('Call Data'!$F525), YEAR('Call Data'!$F525)+1)</f>
        <v>2023</v>
      </c>
      <c r="K525" s="23" t="str">
        <f>TEXT('Call Data'!$F525,"DDDD")</f>
        <v>Saturday</v>
      </c>
      <c r="L525" s="23" t="s">
        <v>25</v>
      </c>
      <c r="M525" s="23">
        <f>ROUND('Call Data'!$I525,0)</f>
        <v>5</v>
      </c>
    </row>
    <row r="526" spans="1:13" ht="14.25" customHeight="1" x14ac:dyDescent="0.35">
      <c r="A526" s="23" t="s">
        <v>560</v>
      </c>
      <c r="B526" s="23" t="s">
        <v>55</v>
      </c>
      <c r="C526" s="23">
        <v>49</v>
      </c>
      <c r="D526" s="24" t="str" cm="1">
        <f t="array" ref="D526">_xlfn.IFS(CallData[[#This Row],[Duration]]&lt;=15,"Very short",CallData[[#This Row],[Duration]]&lt;=30,"Short",CallData[[#This Row],[Duration]]&lt;=60,"Medium",CallData[[#This Row],[Duration]]&gt;60,"Long")</f>
        <v>Medium</v>
      </c>
      <c r="E526" s="24" t="s">
        <v>19</v>
      </c>
      <c r="F526" s="25">
        <v>45081</v>
      </c>
      <c r="G526" s="26">
        <v>100</v>
      </c>
      <c r="H526" s="26" t="str" cm="1">
        <f t="array" ref="H526">_xlfn.IFS(CallData[[#This Row],[Purchase Amount]]&lt;=50,"Low",CallData[[#This Row],[Purchase Amount]]&lt;=100,"Medium",CallData[[#This Row],[Purchase Amount]]&lt;=150,"High",CallData[[#This Row],[Purchase Amount]]&gt;150,"Very High")</f>
        <v>Medium</v>
      </c>
      <c r="I526" s="23">
        <v>2.2000000000000002</v>
      </c>
      <c r="J526" s="23">
        <f>IF(MONTH('Call Data'!$F526)&lt;=6, YEAR('Call Data'!$F526), YEAR('Call Data'!$F526)+1)</f>
        <v>2023</v>
      </c>
      <c r="K526" s="23" t="str">
        <f>TEXT('Call Data'!$F526,"DDDD")</f>
        <v>Sunday</v>
      </c>
      <c r="L526" s="23" t="s">
        <v>27</v>
      </c>
      <c r="M526" s="23">
        <f>ROUND('Call Data'!$I526,0)</f>
        <v>2</v>
      </c>
    </row>
    <row r="527" spans="1:13" ht="14.25" customHeight="1" x14ac:dyDescent="0.35">
      <c r="A527" s="23" t="s">
        <v>561</v>
      </c>
      <c r="B527" s="23" t="s">
        <v>18</v>
      </c>
      <c r="C527" s="23">
        <v>75</v>
      </c>
      <c r="D527" s="24" t="str" cm="1">
        <f t="array" ref="D527">_xlfn.IFS(CallData[[#This Row],[Duration]]&lt;=15,"Very short",CallData[[#This Row],[Duration]]&lt;=30,"Short",CallData[[#This Row],[Duration]]&lt;=60,"Medium",CallData[[#This Row],[Duration]]&gt;60,"Long")</f>
        <v>Long</v>
      </c>
      <c r="E527" s="24" t="s">
        <v>35</v>
      </c>
      <c r="F527" s="25">
        <v>45081</v>
      </c>
      <c r="G527" s="26">
        <v>38</v>
      </c>
      <c r="H527" s="26" t="str" cm="1">
        <f t="array" ref="H527">_xlfn.IFS(CallData[[#This Row],[Purchase Amount]]&lt;=50,"Low",CallData[[#This Row],[Purchase Amount]]&lt;=100,"Medium",CallData[[#This Row],[Purchase Amount]]&lt;=150,"High",CallData[[#This Row],[Purchase Amount]]&gt;150,"Very High")</f>
        <v>Low</v>
      </c>
      <c r="I527" s="23">
        <v>4.4000000000000004</v>
      </c>
      <c r="J527" s="23">
        <f>IF(MONTH('Call Data'!$F527)&lt;=6, YEAR('Call Data'!$F527), YEAR('Call Data'!$F527)+1)</f>
        <v>2023</v>
      </c>
      <c r="K527" s="23" t="str">
        <f>TEXT('Call Data'!$F527,"DDDD")</f>
        <v>Sunday</v>
      </c>
      <c r="L527" s="23" t="s">
        <v>14</v>
      </c>
      <c r="M527" s="23">
        <f>ROUND('Call Data'!$I527,0)</f>
        <v>4</v>
      </c>
    </row>
    <row r="528" spans="1:13" ht="14.25" customHeight="1" x14ac:dyDescent="0.35">
      <c r="A528" s="23" t="s">
        <v>562</v>
      </c>
      <c r="B528" s="23" t="s">
        <v>58</v>
      </c>
      <c r="C528" s="23">
        <v>48</v>
      </c>
      <c r="D528" s="24" t="str" cm="1">
        <f t="array" ref="D528">_xlfn.IFS(CallData[[#This Row],[Duration]]&lt;=15,"Very short",CallData[[#This Row],[Duration]]&lt;=30,"Short",CallData[[#This Row],[Duration]]&lt;=60,"Medium",CallData[[#This Row],[Duration]]&gt;60,"Long")</f>
        <v>Medium</v>
      </c>
      <c r="E528" s="24" t="s">
        <v>24</v>
      </c>
      <c r="F528" s="25">
        <v>45082</v>
      </c>
      <c r="G528" s="26">
        <v>120</v>
      </c>
      <c r="H528" s="26" t="str" cm="1">
        <f t="array" ref="H528">_xlfn.IFS(CallData[[#This Row],[Purchase Amount]]&lt;=50,"Low",CallData[[#This Row],[Purchase Amount]]&lt;=100,"Medium",CallData[[#This Row],[Purchase Amount]]&lt;=150,"High",CallData[[#This Row],[Purchase Amount]]&gt;150,"Very High")</f>
        <v>High</v>
      </c>
      <c r="I528" s="23">
        <v>4.0999999999999996</v>
      </c>
      <c r="J528" s="23">
        <f>IF(MONTH('Call Data'!$F528)&lt;=6, YEAR('Call Data'!$F528), YEAR('Call Data'!$F528)+1)</f>
        <v>2023</v>
      </c>
      <c r="K528" s="23" t="str">
        <f>TEXT('Call Data'!$F528,"DDDD")</f>
        <v>Monday</v>
      </c>
      <c r="L528" s="23" t="s">
        <v>27</v>
      </c>
      <c r="M528" s="23">
        <f>ROUND('Call Data'!$I528,0)</f>
        <v>4</v>
      </c>
    </row>
    <row r="529" spans="1:13" ht="14.25" customHeight="1" x14ac:dyDescent="0.35">
      <c r="A529" s="23" t="s">
        <v>563</v>
      </c>
      <c r="B529" s="23" t="s">
        <v>46</v>
      </c>
      <c r="C529" s="23">
        <v>48</v>
      </c>
      <c r="D529" s="24" t="str" cm="1">
        <f t="array" ref="D529">_xlfn.IFS(CallData[[#This Row],[Duration]]&lt;=15,"Very short",CallData[[#This Row],[Duration]]&lt;=30,"Short",CallData[[#This Row],[Duration]]&lt;=60,"Medium",CallData[[#This Row],[Duration]]&gt;60,"Long")</f>
        <v>Medium</v>
      </c>
      <c r="E529" s="24" t="s">
        <v>24</v>
      </c>
      <c r="F529" s="25">
        <v>45082</v>
      </c>
      <c r="G529" s="26">
        <v>120</v>
      </c>
      <c r="H529" s="26" t="str" cm="1">
        <f t="array" ref="H529">_xlfn.IFS(CallData[[#This Row],[Purchase Amount]]&lt;=50,"Low",CallData[[#This Row],[Purchase Amount]]&lt;=100,"Medium",CallData[[#This Row],[Purchase Amount]]&lt;=150,"High",CallData[[#This Row],[Purchase Amount]]&gt;150,"Very High")</f>
        <v>High</v>
      </c>
      <c r="I529" s="23">
        <v>4.0999999999999996</v>
      </c>
      <c r="J529" s="23">
        <f>IF(MONTH('Call Data'!$F529)&lt;=6, YEAR('Call Data'!$F529), YEAR('Call Data'!$F529)+1)</f>
        <v>2023</v>
      </c>
      <c r="K529" s="23" t="str">
        <f>TEXT('Call Data'!$F529,"DDDD")</f>
        <v>Monday</v>
      </c>
      <c r="L529" s="23" t="s">
        <v>27</v>
      </c>
      <c r="M529" s="23">
        <f>ROUND('Call Data'!$I529,0)</f>
        <v>4</v>
      </c>
    </row>
    <row r="530" spans="1:13" ht="14.25" customHeight="1" x14ac:dyDescent="0.35">
      <c r="A530" s="23" t="s">
        <v>564</v>
      </c>
      <c r="B530" s="23" t="s">
        <v>16</v>
      </c>
      <c r="C530" s="23">
        <v>138</v>
      </c>
      <c r="D530" s="24" t="str" cm="1">
        <f t="array" ref="D530">_xlfn.IFS(CallData[[#This Row],[Duration]]&lt;=15,"Very short",CallData[[#This Row],[Duration]]&lt;=30,"Short",CallData[[#This Row],[Duration]]&lt;=60,"Medium",CallData[[#This Row],[Duration]]&gt;60,"Long")</f>
        <v>Long</v>
      </c>
      <c r="E530" s="24" t="s">
        <v>19</v>
      </c>
      <c r="F530" s="25">
        <v>45082</v>
      </c>
      <c r="G530" s="26">
        <v>29</v>
      </c>
      <c r="H530" s="26" t="str" cm="1">
        <f t="array" ref="H530">_xlfn.IFS(CallData[[#This Row],[Purchase Amount]]&lt;=50,"Low",CallData[[#This Row],[Purchase Amount]]&lt;=100,"Medium",CallData[[#This Row],[Purchase Amount]]&lt;=150,"High",CallData[[#This Row],[Purchase Amount]]&gt;150,"Very High")</f>
        <v>Low</v>
      </c>
      <c r="I530" s="23">
        <v>4.4000000000000004</v>
      </c>
      <c r="J530" s="23">
        <f>IF(MONTH('Call Data'!$F530)&lt;=6, YEAR('Call Data'!$F530), YEAR('Call Data'!$F530)+1)</f>
        <v>2023</v>
      </c>
      <c r="K530" s="23" t="str">
        <f>TEXT('Call Data'!$F530,"DDDD")</f>
        <v>Monday</v>
      </c>
      <c r="L530" s="23" t="s">
        <v>25</v>
      </c>
      <c r="M530" s="23">
        <f>ROUND('Call Data'!$I530,0)</f>
        <v>4</v>
      </c>
    </row>
    <row r="531" spans="1:13" ht="14.25" customHeight="1" x14ac:dyDescent="0.35">
      <c r="A531" s="23" t="s">
        <v>565</v>
      </c>
      <c r="B531" s="23" t="s">
        <v>50</v>
      </c>
      <c r="C531" s="23">
        <v>144</v>
      </c>
      <c r="D531" s="24" t="str" cm="1">
        <f t="array" ref="D531">_xlfn.IFS(CallData[[#This Row],[Duration]]&lt;=15,"Very short",CallData[[#This Row],[Duration]]&lt;=30,"Short",CallData[[#This Row],[Duration]]&lt;=60,"Medium",CallData[[#This Row],[Duration]]&gt;60,"Long")</f>
        <v>Long</v>
      </c>
      <c r="E531" s="24" t="s">
        <v>19</v>
      </c>
      <c r="F531" s="25">
        <v>45083</v>
      </c>
      <c r="G531" s="26">
        <v>25</v>
      </c>
      <c r="H531" s="26" t="str" cm="1">
        <f t="array" ref="H531">_xlfn.IFS(CallData[[#This Row],[Purchase Amount]]&lt;=50,"Low",CallData[[#This Row],[Purchase Amount]]&lt;=100,"Medium",CallData[[#This Row],[Purchase Amount]]&lt;=150,"High",CallData[[#This Row],[Purchase Amount]]&gt;150,"Very High")</f>
        <v>Low</v>
      </c>
      <c r="I531" s="23">
        <v>3.7</v>
      </c>
      <c r="J531" s="23">
        <f>IF(MONTH('Call Data'!$F531)&lt;=6, YEAR('Call Data'!$F531), YEAR('Call Data'!$F531)+1)</f>
        <v>2023</v>
      </c>
      <c r="K531" s="23" t="str">
        <f>TEXT('Call Data'!$F531,"DDDD")</f>
        <v>Tuesday</v>
      </c>
      <c r="L531" s="23" t="s">
        <v>25</v>
      </c>
      <c r="M531" s="23">
        <f>ROUND('Call Data'!$I531,0)</f>
        <v>4</v>
      </c>
    </row>
    <row r="532" spans="1:13" ht="14.25" customHeight="1" x14ac:dyDescent="0.35">
      <c r="A532" s="23" t="s">
        <v>566</v>
      </c>
      <c r="B532" s="23" t="s">
        <v>68</v>
      </c>
      <c r="C532" s="23">
        <v>119</v>
      </c>
      <c r="D532" s="24" t="str" cm="1">
        <f t="array" ref="D532">_xlfn.IFS(CallData[[#This Row],[Duration]]&lt;=15,"Very short",CallData[[#This Row],[Duration]]&lt;=30,"Short",CallData[[#This Row],[Duration]]&lt;=60,"Medium",CallData[[#This Row],[Duration]]&gt;60,"Long")</f>
        <v>Long</v>
      </c>
      <c r="E532" s="24" t="s">
        <v>35</v>
      </c>
      <c r="F532" s="25">
        <v>45084</v>
      </c>
      <c r="G532" s="26">
        <v>116</v>
      </c>
      <c r="H532" s="26" t="str" cm="1">
        <f t="array" ref="H532">_xlfn.IFS(CallData[[#This Row],[Purchase Amount]]&lt;=50,"Low",CallData[[#This Row],[Purchase Amount]]&lt;=100,"Medium",CallData[[#This Row],[Purchase Amount]]&lt;=150,"High",CallData[[#This Row],[Purchase Amount]]&gt;150,"Very High")</f>
        <v>High</v>
      </c>
      <c r="I532" s="23">
        <v>3.8</v>
      </c>
      <c r="J532" s="23">
        <f>IF(MONTH('Call Data'!$F532)&lt;=6, YEAR('Call Data'!$F532), YEAR('Call Data'!$F532)+1)</f>
        <v>2023</v>
      </c>
      <c r="K532" s="23" t="str">
        <f>TEXT('Call Data'!$F532,"DDDD")</f>
        <v>Wednesday</v>
      </c>
      <c r="L532" s="23" t="s">
        <v>14</v>
      </c>
      <c r="M532" s="23">
        <f>ROUND('Call Data'!$I532,0)</f>
        <v>4</v>
      </c>
    </row>
    <row r="533" spans="1:13" ht="14.25" customHeight="1" x14ac:dyDescent="0.35">
      <c r="A533" s="23" t="s">
        <v>567</v>
      </c>
      <c r="B533" s="23" t="s">
        <v>16</v>
      </c>
      <c r="C533" s="23">
        <v>101</v>
      </c>
      <c r="D533" s="24" t="str" cm="1">
        <f t="array" ref="D533">_xlfn.IFS(CallData[[#This Row],[Duration]]&lt;=15,"Very short",CallData[[#This Row],[Duration]]&lt;=30,"Short",CallData[[#This Row],[Duration]]&lt;=60,"Medium",CallData[[#This Row],[Duration]]&gt;60,"Long")</f>
        <v>Long</v>
      </c>
      <c r="E533" s="24" t="s">
        <v>24</v>
      </c>
      <c r="F533" s="25">
        <v>45085</v>
      </c>
      <c r="G533" s="26">
        <v>132</v>
      </c>
      <c r="H533" s="26" t="str" cm="1">
        <f t="array" ref="H533">_xlfn.IFS(CallData[[#This Row],[Purchase Amount]]&lt;=50,"Low",CallData[[#This Row],[Purchase Amount]]&lt;=100,"Medium",CallData[[#This Row],[Purchase Amount]]&lt;=150,"High",CallData[[#This Row],[Purchase Amount]]&gt;150,"Very High")</f>
        <v>High</v>
      </c>
      <c r="I533" s="23">
        <v>4.3</v>
      </c>
      <c r="J533" s="23">
        <f>IF(MONTH('Call Data'!$F533)&lt;=6, YEAR('Call Data'!$F533), YEAR('Call Data'!$F533)+1)</f>
        <v>2023</v>
      </c>
      <c r="K533" s="23" t="str">
        <f>TEXT('Call Data'!$F533,"DDDD")</f>
        <v>Thursday</v>
      </c>
      <c r="L533" s="23" t="s">
        <v>14</v>
      </c>
      <c r="M533" s="23">
        <f>ROUND('Call Data'!$I533,0)</f>
        <v>4</v>
      </c>
    </row>
    <row r="534" spans="1:13" ht="14.25" customHeight="1" x14ac:dyDescent="0.35">
      <c r="A534" s="23" t="s">
        <v>568</v>
      </c>
      <c r="B534" s="23" t="s">
        <v>50</v>
      </c>
      <c r="C534" s="23">
        <v>59</v>
      </c>
      <c r="D534" s="24" t="str" cm="1">
        <f t="array" ref="D534">_xlfn.IFS(CallData[[#This Row],[Duration]]&lt;=15,"Very short",CallData[[#This Row],[Duration]]&lt;=30,"Short",CallData[[#This Row],[Duration]]&lt;=60,"Medium",CallData[[#This Row],[Duration]]&gt;60,"Long")</f>
        <v>Medium</v>
      </c>
      <c r="E534" s="24" t="s">
        <v>35</v>
      </c>
      <c r="F534" s="25">
        <v>45086</v>
      </c>
      <c r="G534" s="26">
        <v>90</v>
      </c>
      <c r="H534" s="26" t="str" cm="1">
        <f t="array" ref="H534">_xlfn.IFS(CallData[[#This Row],[Purchase Amount]]&lt;=50,"Low",CallData[[#This Row],[Purchase Amount]]&lt;=100,"Medium",CallData[[#This Row],[Purchase Amount]]&lt;=150,"High",CallData[[#This Row],[Purchase Amount]]&gt;150,"Very High")</f>
        <v>Medium</v>
      </c>
      <c r="I534" s="23">
        <v>3.5</v>
      </c>
      <c r="J534" s="23">
        <f>IF(MONTH('Call Data'!$F534)&lt;=6, YEAR('Call Data'!$F534), YEAR('Call Data'!$F534)+1)</f>
        <v>2023</v>
      </c>
      <c r="K534" s="23" t="str">
        <f>TEXT('Call Data'!$F534,"DDDD")</f>
        <v>Friday</v>
      </c>
      <c r="L534" s="23" t="s">
        <v>27</v>
      </c>
      <c r="M534" s="23">
        <f>ROUND('Call Data'!$I534,0)</f>
        <v>4</v>
      </c>
    </row>
    <row r="535" spans="1:13" ht="14.25" customHeight="1" x14ac:dyDescent="0.35">
      <c r="A535" s="23" t="s">
        <v>569</v>
      </c>
      <c r="B535" s="23" t="s">
        <v>38</v>
      </c>
      <c r="C535" s="23">
        <v>125</v>
      </c>
      <c r="D535" s="24" t="str" cm="1">
        <f t="array" ref="D535">_xlfn.IFS(CallData[[#This Row],[Duration]]&lt;=15,"Very short",CallData[[#This Row],[Duration]]&lt;=30,"Short",CallData[[#This Row],[Duration]]&lt;=60,"Medium",CallData[[#This Row],[Duration]]&gt;60,"Long")</f>
        <v>Long</v>
      </c>
      <c r="E535" s="24" t="s">
        <v>13</v>
      </c>
      <c r="F535" s="25">
        <v>45086</v>
      </c>
      <c r="G535" s="26">
        <v>87</v>
      </c>
      <c r="H535" s="26" t="str" cm="1">
        <f t="array" ref="H535">_xlfn.IFS(CallData[[#This Row],[Purchase Amount]]&lt;=50,"Low",CallData[[#This Row],[Purchase Amount]]&lt;=100,"Medium",CallData[[#This Row],[Purchase Amount]]&lt;=150,"High",CallData[[#This Row],[Purchase Amount]]&gt;150,"Very High")</f>
        <v>Medium</v>
      </c>
      <c r="I535" s="23">
        <v>4.0999999999999996</v>
      </c>
      <c r="J535" s="23">
        <f>IF(MONTH('Call Data'!$F535)&lt;=6, YEAR('Call Data'!$F535), YEAR('Call Data'!$F535)+1)</f>
        <v>2023</v>
      </c>
      <c r="K535" s="23" t="str">
        <f>TEXT('Call Data'!$F535,"DDDD")</f>
        <v>Friday</v>
      </c>
      <c r="L535" s="23" t="s">
        <v>25</v>
      </c>
      <c r="M535" s="23">
        <f>ROUND('Call Data'!$I535,0)</f>
        <v>4</v>
      </c>
    </row>
    <row r="536" spans="1:13" ht="14.25" customHeight="1" x14ac:dyDescent="0.35">
      <c r="A536" s="23" t="s">
        <v>570</v>
      </c>
      <c r="B536" s="23" t="s">
        <v>34</v>
      </c>
      <c r="C536" s="23">
        <v>147</v>
      </c>
      <c r="D536" s="24" t="str" cm="1">
        <f t="array" ref="D536">_xlfn.IFS(CallData[[#This Row],[Duration]]&lt;=15,"Very short",CallData[[#This Row],[Duration]]&lt;=30,"Short",CallData[[#This Row],[Duration]]&lt;=60,"Medium",CallData[[#This Row],[Duration]]&gt;60,"Long")</f>
        <v>Long</v>
      </c>
      <c r="E536" s="24" t="s">
        <v>35</v>
      </c>
      <c r="F536" s="25">
        <v>45086</v>
      </c>
      <c r="G536" s="26">
        <v>140</v>
      </c>
      <c r="H536" s="26" t="str" cm="1">
        <f t="array" ref="H536">_xlfn.IFS(CallData[[#This Row],[Purchase Amount]]&lt;=50,"Low",CallData[[#This Row],[Purchase Amount]]&lt;=100,"Medium",CallData[[#This Row],[Purchase Amount]]&lt;=150,"High",CallData[[#This Row],[Purchase Amount]]&gt;150,"Very High")</f>
        <v>High</v>
      </c>
      <c r="I536" s="23">
        <v>4.2</v>
      </c>
      <c r="J536" s="23">
        <f>IF(MONTH('Call Data'!$F536)&lt;=6, YEAR('Call Data'!$F536), YEAR('Call Data'!$F536)+1)</f>
        <v>2023</v>
      </c>
      <c r="K536" s="23" t="str">
        <f>TEXT('Call Data'!$F536,"DDDD")</f>
        <v>Friday</v>
      </c>
      <c r="L536" s="23" t="s">
        <v>25</v>
      </c>
      <c r="M536" s="23">
        <f>ROUND('Call Data'!$I536,0)</f>
        <v>4</v>
      </c>
    </row>
    <row r="537" spans="1:13" ht="14.25" customHeight="1" x14ac:dyDescent="0.35">
      <c r="A537" s="23" t="s">
        <v>571</v>
      </c>
      <c r="B537" s="23" t="s">
        <v>40</v>
      </c>
      <c r="C537" s="23">
        <v>76</v>
      </c>
      <c r="D537" s="24" t="str" cm="1">
        <f t="array" ref="D537">_xlfn.IFS(CallData[[#This Row],[Duration]]&lt;=15,"Very short",CallData[[#This Row],[Duration]]&lt;=30,"Short",CallData[[#This Row],[Duration]]&lt;=60,"Medium",CallData[[#This Row],[Duration]]&gt;60,"Long")</f>
        <v>Long</v>
      </c>
      <c r="E537" s="24" t="s">
        <v>35</v>
      </c>
      <c r="F537" s="25">
        <v>45086</v>
      </c>
      <c r="G537" s="26">
        <v>164</v>
      </c>
      <c r="H537" s="26" t="str" cm="1">
        <f t="array" ref="H537">_xlfn.IFS(CallData[[#This Row],[Purchase Amount]]&lt;=50,"Low",CallData[[#This Row],[Purchase Amount]]&lt;=100,"Medium",CallData[[#This Row],[Purchase Amount]]&lt;=150,"High",CallData[[#This Row],[Purchase Amount]]&gt;150,"Very High")</f>
        <v>Very High</v>
      </c>
      <c r="I537" s="23">
        <v>4.5</v>
      </c>
      <c r="J537" s="23">
        <f>IF(MONTH('Call Data'!$F537)&lt;=6, YEAR('Call Data'!$F537), YEAR('Call Data'!$F537)+1)</f>
        <v>2023</v>
      </c>
      <c r="K537" s="23" t="str">
        <f>TEXT('Call Data'!$F537,"DDDD")</f>
        <v>Friday</v>
      </c>
      <c r="L537" s="23" t="s">
        <v>14</v>
      </c>
      <c r="M537" s="23">
        <f>ROUND('Call Data'!$I537,0)</f>
        <v>5</v>
      </c>
    </row>
    <row r="538" spans="1:13" ht="14.25" customHeight="1" x14ac:dyDescent="0.35">
      <c r="A538" s="23" t="s">
        <v>572</v>
      </c>
      <c r="B538" s="23" t="s">
        <v>29</v>
      </c>
      <c r="C538" s="23">
        <v>99</v>
      </c>
      <c r="D538" s="24" t="str" cm="1">
        <f t="array" ref="D538">_xlfn.IFS(CallData[[#This Row],[Duration]]&lt;=15,"Very short",CallData[[#This Row],[Duration]]&lt;=30,"Short",CallData[[#This Row],[Duration]]&lt;=60,"Medium",CallData[[#This Row],[Duration]]&gt;60,"Long")</f>
        <v>Long</v>
      </c>
      <c r="E538" s="24" t="s">
        <v>24</v>
      </c>
      <c r="F538" s="25">
        <v>45087</v>
      </c>
      <c r="G538" s="26">
        <v>180</v>
      </c>
      <c r="H538" s="26" t="str" cm="1">
        <f t="array" ref="H538">_xlfn.IFS(CallData[[#This Row],[Purchase Amount]]&lt;=50,"Low",CallData[[#This Row],[Purchase Amount]]&lt;=100,"Medium",CallData[[#This Row],[Purchase Amount]]&lt;=150,"High",CallData[[#This Row],[Purchase Amount]]&gt;150,"Very High")</f>
        <v>Very High</v>
      </c>
      <c r="I538" s="23">
        <v>3.8</v>
      </c>
      <c r="J538" s="23">
        <f>IF(MONTH('Call Data'!$F538)&lt;=6, YEAR('Call Data'!$F538), YEAR('Call Data'!$F538)+1)</f>
        <v>2023</v>
      </c>
      <c r="K538" s="23" t="str">
        <f>TEXT('Call Data'!$F538,"DDDD")</f>
        <v>Saturday</v>
      </c>
      <c r="L538" s="23" t="s">
        <v>14</v>
      </c>
      <c r="M538" s="23">
        <f>ROUND('Call Data'!$I538,0)</f>
        <v>4</v>
      </c>
    </row>
    <row r="539" spans="1:13" ht="14.25" customHeight="1" x14ac:dyDescent="0.35">
      <c r="A539" s="23" t="s">
        <v>573</v>
      </c>
      <c r="B539" s="23" t="s">
        <v>88</v>
      </c>
      <c r="C539" s="23">
        <v>111</v>
      </c>
      <c r="D539" s="24" t="str" cm="1">
        <f t="array" ref="D539">_xlfn.IFS(CallData[[#This Row],[Duration]]&lt;=15,"Very short",CallData[[#This Row],[Duration]]&lt;=30,"Short",CallData[[#This Row],[Duration]]&lt;=60,"Medium",CallData[[#This Row],[Duration]]&gt;60,"Long")</f>
        <v>Long</v>
      </c>
      <c r="E539" s="24" t="s">
        <v>31</v>
      </c>
      <c r="F539" s="25">
        <v>45088</v>
      </c>
      <c r="G539" s="26">
        <v>22</v>
      </c>
      <c r="H539" s="26" t="str" cm="1">
        <f t="array" ref="H539">_xlfn.IFS(CallData[[#This Row],[Purchase Amount]]&lt;=50,"Low",CallData[[#This Row],[Purchase Amount]]&lt;=100,"Medium",CallData[[#This Row],[Purchase Amount]]&lt;=150,"High",CallData[[#This Row],[Purchase Amount]]&gt;150,"Very High")</f>
        <v>Low</v>
      </c>
      <c r="I539" s="23">
        <v>4.0999999999999996</v>
      </c>
      <c r="J539" s="23">
        <f>IF(MONTH('Call Data'!$F539)&lt;=6, YEAR('Call Data'!$F539), YEAR('Call Data'!$F539)+1)</f>
        <v>2023</v>
      </c>
      <c r="K539" s="23" t="str">
        <f>TEXT('Call Data'!$F539,"DDDD")</f>
        <v>Sunday</v>
      </c>
      <c r="L539" s="23" t="s">
        <v>14</v>
      </c>
      <c r="M539" s="23">
        <f>ROUND('Call Data'!$I539,0)</f>
        <v>4</v>
      </c>
    </row>
    <row r="540" spans="1:13" ht="14.25" customHeight="1" x14ac:dyDescent="0.35">
      <c r="A540" s="23" t="s">
        <v>574</v>
      </c>
      <c r="B540" s="23" t="s">
        <v>23</v>
      </c>
      <c r="C540" s="23">
        <v>147</v>
      </c>
      <c r="D540" s="24" t="str" cm="1">
        <f t="array" ref="D540">_xlfn.IFS(CallData[[#This Row],[Duration]]&lt;=15,"Very short",CallData[[#This Row],[Duration]]&lt;=30,"Short",CallData[[#This Row],[Duration]]&lt;=60,"Medium",CallData[[#This Row],[Duration]]&gt;60,"Long")</f>
        <v>Long</v>
      </c>
      <c r="E540" s="24" t="s">
        <v>13</v>
      </c>
      <c r="F540" s="25">
        <v>45088</v>
      </c>
      <c r="G540" s="26">
        <v>82</v>
      </c>
      <c r="H540" s="26" t="str" cm="1">
        <f t="array" ref="H540">_xlfn.IFS(CallData[[#This Row],[Purchase Amount]]&lt;=50,"Low",CallData[[#This Row],[Purchase Amount]]&lt;=100,"Medium",CallData[[#This Row],[Purchase Amount]]&lt;=150,"High",CallData[[#This Row],[Purchase Amount]]&gt;150,"Very High")</f>
        <v>Medium</v>
      </c>
      <c r="I540" s="23">
        <v>4.4000000000000004</v>
      </c>
      <c r="J540" s="23">
        <f>IF(MONTH('Call Data'!$F540)&lt;=6, YEAR('Call Data'!$F540), YEAR('Call Data'!$F540)+1)</f>
        <v>2023</v>
      </c>
      <c r="K540" s="23" t="str">
        <f>TEXT('Call Data'!$F540,"DDDD")</f>
        <v>Sunday</v>
      </c>
      <c r="L540" s="23" t="s">
        <v>25</v>
      </c>
      <c r="M540" s="23">
        <f>ROUND('Call Data'!$I540,0)</f>
        <v>4</v>
      </c>
    </row>
    <row r="541" spans="1:13" ht="14.25" customHeight="1" x14ac:dyDescent="0.35">
      <c r="A541" s="23" t="s">
        <v>575</v>
      </c>
      <c r="B541" s="23" t="s">
        <v>12</v>
      </c>
      <c r="C541" s="23">
        <v>141</v>
      </c>
      <c r="D541" s="24" t="str" cm="1">
        <f t="array" ref="D541">_xlfn.IFS(CallData[[#This Row],[Duration]]&lt;=15,"Very short",CallData[[#This Row],[Duration]]&lt;=30,"Short",CallData[[#This Row],[Duration]]&lt;=60,"Medium",CallData[[#This Row],[Duration]]&gt;60,"Long")</f>
        <v>Long</v>
      </c>
      <c r="E541" s="24" t="s">
        <v>24</v>
      </c>
      <c r="F541" s="25">
        <v>45088</v>
      </c>
      <c r="G541" s="26">
        <v>100</v>
      </c>
      <c r="H541" s="26" t="str" cm="1">
        <f t="array" ref="H541">_xlfn.IFS(CallData[[#This Row],[Purchase Amount]]&lt;=50,"Low",CallData[[#This Row],[Purchase Amount]]&lt;=100,"Medium",CallData[[#This Row],[Purchase Amount]]&lt;=150,"High",CallData[[#This Row],[Purchase Amount]]&gt;150,"Very High")</f>
        <v>Medium</v>
      </c>
      <c r="I541" s="23">
        <v>4.5999999999999996</v>
      </c>
      <c r="J541" s="23">
        <f>IF(MONTH('Call Data'!$F541)&lt;=6, YEAR('Call Data'!$F541), YEAR('Call Data'!$F541)+1)</f>
        <v>2023</v>
      </c>
      <c r="K541" s="23" t="str">
        <f>TEXT('Call Data'!$F541,"DDDD")</f>
        <v>Sunday</v>
      </c>
      <c r="L541" s="23" t="s">
        <v>25</v>
      </c>
      <c r="M541" s="23">
        <f>ROUND('Call Data'!$I541,0)</f>
        <v>5</v>
      </c>
    </row>
    <row r="542" spans="1:13" ht="14.25" customHeight="1" x14ac:dyDescent="0.35">
      <c r="A542" s="23" t="s">
        <v>576</v>
      </c>
      <c r="B542" s="23" t="s">
        <v>40</v>
      </c>
      <c r="C542" s="23">
        <v>71</v>
      </c>
      <c r="D542" s="24" t="str" cm="1">
        <f t="array" ref="D542">_xlfn.IFS(CallData[[#This Row],[Duration]]&lt;=15,"Very short",CallData[[#This Row],[Duration]]&lt;=30,"Short",CallData[[#This Row],[Duration]]&lt;=60,"Medium",CallData[[#This Row],[Duration]]&gt;60,"Long")</f>
        <v>Long</v>
      </c>
      <c r="E542" s="24" t="s">
        <v>35</v>
      </c>
      <c r="F542" s="25">
        <v>45089</v>
      </c>
      <c r="G542" s="26">
        <v>52</v>
      </c>
      <c r="H542" s="26" t="str" cm="1">
        <f t="array" ref="H542">_xlfn.IFS(CallData[[#This Row],[Purchase Amount]]&lt;=50,"Low",CallData[[#This Row],[Purchase Amount]]&lt;=100,"Medium",CallData[[#This Row],[Purchase Amount]]&lt;=150,"High",CallData[[#This Row],[Purchase Amount]]&gt;150,"Very High")</f>
        <v>Medium</v>
      </c>
      <c r="I542" s="23">
        <v>3.4</v>
      </c>
      <c r="J542" s="23">
        <f>IF(MONTH('Call Data'!$F542)&lt;=6, YEAR('Call Data'!$F542), YEAR('Call Data'!$F542)+1)</f>
        <v>2023</v>
      </c>
      <c r="K542" s="23" t="str">
        <f>TEXT('Call Data'!$F542,"DDDD")</f>
        <v>Monday</v>
      </c>
      <c r="L542" s="23" t="s">
        <v>14</v>
      </c>
      <c r="M542" s="23">
        <f>ROUND('Call Data'!$I542,0)</f>
        <v>3</v>
      </c>
    </row>
    <row r="543" spans="1:13" ht="14.25" customHeight="1" x14ac:dyDescent="0.35">
      <c r="A543" s="23" t="s">
        <v>577</v>
      </c>
      <c r="B543" s="23" t="s">
        <v>40</v>
      </c>
      <c r="C543" s="23">
        <v>121</v>
      </c>
      <c r="D543" s="24" t="str" cm="1">
        <f t="array" ref="D543">_xlfn.IFS(CallData[[#This Row],[Duration]]&lt;=15,"Very short",CallData[[#This Row],[Duration]]&lt;=30,"Short",CallData[[#This Row],[Duration]]&lt;=60,"Medium",CallData[[#This Row],[Duration]]&gt;60,"Long")</f>
        <v>Long</v>
      </c>
      <c r="E543" s="24" t="s">
        <v>13</v>
      </c>
      <c r="F543" s="25">
        <v>45090</v>
      </c>
      <c r="G543" s="26">
        <v>84</v>
      </c>
      <c r="H543" s="26" t="str" cm="1">
        <f t="array" ref="H543">_xlfn.IFS(CallData[[#This Row],[Purchase Amount]]&lt;=50,"Low",CallData[[#This Row],[Purchase Amount]]&lt;=100,"Medium",CallData[[#This Row],[Purchase Amount]]&lt;=150,"High",CallData[[#This Row],[Purchase Amount]]&gt;150,"Very High")</f>
        <v>Medium</v>
      </c>
      <c r="I543" s="23">
        <v>4.5999999999999996</v>
      </c>
      <c r="J543" s="23">
        <f>IF(MONTH('Call Data'!$F543)&lt;=6, YEAR('Call Data'!$F543), YEAR('Call Data'!$F543)+1)</f>
        <v>2023</v>
      </c>
      <c r="K543" s="23" t="str">
        <f>TEXT('Call Data'!$F543,"DDDD")</f>
        <v>Tuesday</v>
      </c>
      <c r="L543" s="23" t="s">
        <v>25</v>
      </c>
      <c r="M543" s="23">
        <f>ROUND('Call Data'!$I543,0)</f>
        <v>5</v>
      </c>
    </row>
    <row r="544" spans="1:13" ht="14.25" customHeight="1" x14ac:dyDescent="0.35">
      <c r="A544" s="23" t="s">
        <v>578</v>
      </c>
      <c r="B544" s="23" t="s">
        <v>40</v>
      </c>
      <c r="C544" s="23">
        <v>60</v>
      </c>
      <c r="D544" s="24" t="str" cm="1">
        <f t="array" ref="D544">_xlfn.IFS(CallData[[#This Row],[Duration]]&lt;=15,"Very short",CallData[[#This Row],[Duration]]&lt;=30,"Short",CallData[[#This Row],[Duration]]&lt;=60,"Medium",CallData[[#This Row],[Duration]]&gt;60,"Long")</f>
        <v>Medium</v>
      </c>
      <c r="E544" s="24" t="s">
        <v>13</v>
      </c>
      <c r="F544" s="25">
        <v>45090</v>
      </c>
      <c r="G544" s="26">
        <v>37</v>
      </c>
      <c r="H544" s="26" t="str" cm="1">
        <f t="array" ref="H544">_xlfn.IFS(CallData[[#This Row],[Purchase Amount]]&lt;=50,"Low",CallData[[#This Row],[Purchase Amount]]&lt;=100,"Medium",CallData[[#This Row],[Purchase Amount]]&lt;=150,"High",CallData[[#This Row],[Purchase Amount]]&gt;150,"Very High")</f>
        <v>Low</v>
      </c>
      <c r="I544" s="23">
        <v>3.9</v>
      </c>
      <c r="J544" s="23">
        <f>IF(MONTH('Call Data'!$F544)&lt;=6, YEAR('Call Data'!$F544), YEAR('Call Data'!$F544)+1)</f>
        <v>2023</v>
      </c>
      <c r="K544" s="23" t="str">
        <f>TEXT('Call Data'!$F544,"DDDD")</f>
        <v>Tuesday</v>
      </c>
      <c r="L544" s="23" t="s">
        <v>27</v>
      </c>
      <c r="M544" s="23">
        <f>ROUND('Call Data'!$I544,0)</f>
        <v>4</v>
      </c>
    </row>
    <row r="545" spans="1:13" ht="14.25" customHeight="1" x14ac:dyDescent="0.35">
      <c r="A545" s="23" t="s">
        <v>579</v>
      </c>
      <c r="B545" s="23" t="s">
        <v>55</v>
      </c>
      <c r="C545" s="23">
        <v>158</v>
      </c>
      <c r="D545" s="24" t="str" cm="1">
        <f t="array" ref="D545">_xlfn.IFS(CallData[[#This Row],[Duration]]&lt;=15,"Very short",CallData[[#This Row],[Duration]]&lt;=30,"Short",CallData[[#This Row],[Duration]]&lt;=60,"Medium",CallData[[#This Row],[Duration]]&gt;60,"Long")</f>
        <v>Long</v>
      </c>
      <c r="E545" s="24" t="s">
        <v>24</v>
      </c>
      <c r="F545" s="25">
        <v>45091</v>
      </c>
      <c r="G545" s="26">
        <v>190</v>
      </c>
      <c r="H545" s="26" t="str" cm="1">
        <f t="array" ref="H545">_xlfn.IFS(CallData[[#This Row],[Purchase Amount]]&lt;=50,"Low",CallData[[#This Row],[Purchase Amount]]&lt;=100,"Medium",CallData[[#This Row],[Purchase Amount]]&lt;=150,"High",CallData[[#This Row],[Purchase Amount]]&gt;150,"Very High")</f>
        <v>Very High</v>
      </c>
      <c r="I545" s="23">
        <v>4</v>
      </c>
      <c r="J545" s="23">
        <f>IF(MONTH('Call Data'!$F545)&lt;=6, YEAR('Call Data'!$F545), YEAR('Call Data'!$F545)+1)</f>
        <v>2023</v>
      </c>
      <c r="K545" s="23" t="str">
        <f>TEXT('Call Data'!$F545,"DDDD")</f>
        <v>Wednesday</v>
      </c>
      <c r="L545" s="23" t="s">
        <v>25</v>
      </c>
      <c r="M545" s="23">
        <f>ROUND('Call Data'!$I545,0)</f>
        <v>4</v>
      </c>
    </row>
    <row r="546" spans="1:13" ht="14.25" customHeight="1" x14ac:dyDescent="0.35">
      <c r="A546" s="23" t="s">
        <v>580</v>
      </c>
      <c r="B546" s="23" t="s">
        <v>34</v>
      </c>
      <c r="C546" s="23">
        <v>159</v>
      </c>
      <c r="D546" s="24" t="str" cm="1">
        <f t="array" ref="D546">_xlfn.IFS(CallData[[#This Row],[Duration]]&lt;=15,"Very short",CallData[[#This Row],[Duration]]&lt;=30,"Short",CallData[[#This Row],[Duration]]&lt;=60,"Medium",CallData[[#This Row],[Duration]]&gt;60,"Long")</f>
        <v>Long</v>
      </c>
      <c r="E546" s="24" t="s">
        <v>19</v>
      </c>
      <c r="F546" s="25">
        <v>45091</v>
      </c>
      <c r="G546" s="26">
        <v>66</v>
      </c>
      <c r="H546" s="26" t="str" cm="1">
        <f t="array" ref="H546">_xlfn.IFS(CallData[[#This Row],[Purchase Amount]]&lt;=50,"Low",CallData[[#This Row],[Purchase Amount]]&lt;=100,"Medium",CallData[[#This Row],[Purchase Amount]]&lt;=150,"High",CallData[[#This Row],[Purchase Amount]]&gt;150,"Very High")</f>
        <v>Medium</v>
      </c>
      <c r="I546" s="23">
        <v>3.4</v>
      </c>
      <c r="J546" s="23">
        <f>IF(MONTH('Call Data'!$F546)&lt;=6, YEAR('Call Data'!$F546), YEAR('Call Data'!$F546)+1)</f>
        <v>2023</v>
      </c>
      <c r="K546" s="23" t="str">
        <f>TEXT('Call Data'!$F546,"DDDD")</f>
        <v>Wednesday</v>
      </c>
      <c r="L546" s="23" t="s">
        <v>25</v>
      </c>
      <c r="M546" s="23">
        <f>ROUND('Call Data'!$I546,0)</f>
        <v>3</v>
      </c>
    </row>
    <row r="547" spans="1:13" ht="14.25" customHeight="1" x14ac:dyDescent="0.35">
      <c r="A547" s="23" t="s">
        <v>581</v>
      </c>
      <c r="B547" s="23" t="s">
        <v>16</v>
      </c>
      <c r="C547" s="23">
        <v>70</v>
      </c>
      <c r="D547" s="24" t="str" cm="1">
        <f t="array" ref="D547">_xlfn.IFS(CallData[[#This Row],[Duration]]&lt;=15,"Very short",CallData[[#This Row],[Duration]]&lt;=30,"Short",CallData[[#This Row],[Duration]]&lt;=60,"Medium",CallData[[#This Row],[Duration]]&gt;60,"Long")</f>
        <v>Long</v>
      </c>
      <c r="E547" s="24" t="s">
        <v>35</v>
      </c>
      <c r="F547" s="25">
        <v>45092</v>
      </c>
      <c r="G547" s="26">
        <v>116</v>
      </c>
      <c r="H547" s="26" t="str" cm="1">
        <f t="array" ref="H547">_xlfn.IFS(CallData[[#This Row],[Purchase Amount]]&lt;=50,"Low",CallData[[#This Row],[Purchase Amount]]&lt;=100,"Medium",CallData[[#This Row],[Purchase Amount]]&lt;=150,"High",CallData[[#This Row],[Purchase Amount]]&gt;150,"Very High")</f>
        <v>High</v>
      </c>
      <c r="I547" s="23">
        <v>3.2</v>
      </c>
      <c r="J547" s="23">
        <f>IF(MONTH('Call Data'!$F547)&lt;=6, YEAR('Call Data'!$F547), YEAR('Call Data'!$F547)+1)</f>
        <v>2023</v>
      </c>
      <c r="K547" s="23" t="str">
        <f>TEXT('Call Data'!$F547,"DDDD")</f>
        <v>Thursday</v>
      </c>
      <c r="L547" s="23" t="s">
        <v>14</v>
      </c>
      <c r="M547" s="23">
        <f>ROUND('Call Data'!$I547,0)</f>
        <v>3</v>
      </c>
    </row>
    <row r="548" spans="1:13" ht="14.25" customHeight="1" x14ac:dyDescent="0.35">
      <c r="A548" s="23" t="s">
        <v>582</v>
      </c>
      <c r="B548" s="23" t="s">
        <v>58</v>
      </c>
      <c r="C548" s="23">
        <v>78</v>
      </c>
      <c r="D548" s="24" t="str" cm="1">
        <f t="array" ref="D548">_xlfn.IFS(CallData[[#This Row],[Duration]]&lt;=15,"Very short",CallData[[#This Row],[Duration]]&lt;=30,"Short",CallData[[#This Row],[Duration]]&lt;=60,"Medium",CallData[[#This Row],[Duration]]&gt;60,"Long")</f>
        <v>Long</v>
      </c>
      <c r="E548" s="24" t="s">
        <v>31</v>
      </c>
      <c r="F548" s="25">
        <v>45092</v>
      </c>
      <c r="G548" s="26">
        <v>28</v>
      </c>
      <c r="H548" s="26" t="str" cm="1">
        <f t="array" ref="H548">_xlfn.IFS(CallData[[#This Row],[Purchase Amount]]&lt;=50,"Low",CallData[[#This Row],[Purchase Amount]]&lt;=100,"Medium",CallData[[#This Row],[Purchase Amount]]&lt;=150,"High",CallData[[#This Row],[Purchase Amount]]&gt;150,"Very High")</f>
        <v>Low</v>
      </c>
      <c r="I548" s="23">
        <v>3.9</v>
      </c>
      <c r="J548" s="23">
        <f>IF(MONTH('Call Data'!$F548)&lt;=6, YEAR('Call Data'!$F548), YEAR('Call Data'!$F548)+1)</f>
        <v>2023</v>
      </c>
      <c r="K548" s="23" t="str">
        <f>TEXT('Call Data'!$F548,"DDDD")</f>
        <v>Thursday</v>
      </c>
      <c r="L548" s="23" t="s">
        <v>14</v>
      </c>
      <c r="M548" s="23">
        <f>ROUND('Call Data'!$I548,0)</f>
        <v>4</v>
      </c>
    </row>
    <row r="549" spans="1:13" ht="14.25" customHeight="1" x14ac:dyDescent="0.35">
      <c r="A549" s="23" t="s">
        <v>583</v>
      </c>
      <c r="B549" s="23" t="s">
        <v>23</v>
      </c>
      <c r="C549" s="23">
        <v>103</v>
      </c>
      <c r="D549" s="24" t="str" cm="1">
        <f t="array" ref="D549">_xlfn.IFS(CallData[[#This Row],[Duration]]&lt;=15,"Very short",CallData[[#This Row],[Duration]]&lt;=30,"Short",CallData[[#This Row],[Duration]]&lt;=60,"Medium",CallData[[#This Row],[Duration]]&gt;60,"Long")</f>
        <v>Long</v>
      </c>
      <c r="E549" s="24" t="s">
        <v>35</v>
      </c>
      <c r="F549" s="25">
        <v>45092</v>
      </c>
      <c r="G549" s="26">
        <v>120</v>
      </c>
      <c r="H549" s="26" t="str" cm="1">
        <f t="array" ref="H549">_xlfn.IFS(CallData[[#This Row],[Purchase Amount]]&lt;=50,"Low",CallData[[#This Row],[Purchase Amount]]&lt;=100,"Medium",CallData[[#This Row],[Purchase Amount]]&lt;=150,"High",CallData[[#This Row],[Purchase Amount]]&gt;150,"Very High")</f>
        <v>High</v>
      </c>
      <c r="I549" s="23">
        <v>5</v>
      </c>
      <c r="J549" s="23">
        <f>IF(MONTH('Call Data'!$F549)&lt;=6, YEAR('Call Data'!$F549), YEAR('Call Data'!$F549)+1)</f>
        <v>2023</v>
      </c>
      <c r="K549" s="23" t="str">
        <f>TEXT('Call Data'!$F549,"DDDD")</f>
        <v>Thursday</v>
      </c>
      <c r="L549" s="23" t="s">
        <v>14</v>
      </c>
      <c r="M549" s="23">
        <f>ROUND('Call Data'!$I549,0)</f>
        <v>5</v>
      </c>
    </row>
    <row r="550" spans="1:13" ht="14.25" customHeight="1" x14ac:dyDescent="0.35">
      <c r="A550" s="23" t="s">
        <v>584</v>
      </c>
      <c r="B550" s="23" t="s">
        <v>18</v>
      </c>
      <c r="C550" s="23">
        <v>108</v>
      </c>
      <c r="D550" s="24" t="str" cm="1">
        <f t="array" ref="D550">_xlfn.IFS(CallData[[#This Row],[Duration]]&lt;=15,"Very short",CallData[[#This Row],[Duration]]&lt;=30,"Short",CallData[[#This Row],[Duration]]&lt;=60,"Medium",CallData[[#This Row],[Duration]]&gt;60,"Long")</f>
        <v>Long</v>
      </c>
      <c r="E550" s="24" t="s">
        <v>24</v>
      </c>
      <c r="F550" s="25">
        <v>45092</v>
      </c>
      <c r="G550" s="26">
        <v>56</v>
      </c>
      <c r="H550" s="26" t="str" cm="1">
        <f t="array" ref="H550">_xlfn.IFS(CallData[[#This Row],[Purchase Amount]]&lt;=50,"Low",CallData[[#This Row],[Purchase Amount]]&lt;=100,"Medium",CallData[[#This Row],[Purchase Amount]]&lt;=150,"High",CallData[[#This Row],[Purchase Amount]]&gt;150,"Very High")</f>
        <v>Medium</v>
      </c>
      <c r="I550" s="23">
        <v>3.5</v>
      </c>
      <c r="J550" s="23">
        <f>IF(MONTH('Call Data'!$F550)&lt;=6, YEAR('Call Data'!$F550), YEAR('Call Data'!$F550)+1)</f>
        <v>2023</v>
      </c>
      <c r="K550" s="23" t="str">
        <f>TEXT('Call Data'!$F550,"DDDD")</f>
        <v>Thursday</v>
      </c>
      <c r="L550" s="23" t="s">
        <v>14</v>
      </c>
      <c r="M550" s="23">
        <f>ROUND('Call Data'!$I550,0)</f>
        <v>4</v>
      </c>
    </row>
    <row r="551" spans="1:13" ht="14.25" customHeight="1" x14ac:dyDescent="0.35">
      <c r="A551" s="23" t="s">
        <v>585</v>
      </c>
      <c r="B551" s="23" t="s">
        <v>18</v>
      </c>
      <c r="C551" s="23">
        <v>44</v>
      </c>
      <c r="D551" s="24" t="str" cm="1">
        <f t="array" ref="D551">_xlfn.IFS(CallData[[#This Row],[Duration]]&lt;=15,"Very short",CallData[[#This Row],[Duration]]&lt;=30,"Short",CallData[[#This Row],[Duration]]&lt;=60,"Medium",CallData[[#This Row],[Duration]]&gt;60,"Long")</f>
        <v>Medium</v>
      </c>
      <c r="E551" s="24" t="s">
        <v>13</v>
      </c>
      <c r="F551" s="25">
        <v>45092</v>
      </c>
      <c r="G551" s="26">
        <v>170</v>
      </c>
      <c r="H551" s="26" t="str" cm="1">
        <f t="array" ref="H551">_xlfn.IFS(CallData[[#This Row],[Purchase Amount]]&lt;=50,"Low",CallData[[#This Row],[Purchase Amount]]&lt;=100,"Medium",CallData[[#This Row],[Purchase Amount]]&lt;=150,"High",CallData[[#This Row],[Purchase Amount]]&gt;150,"Very High")</f>
        <v>Very High</v>
      </c>
      <c r="I551" s="23">
        <v>3.8</v>
      </c>
      <c r="J551" s="23">
        <f>IF(MONTH('Call Data'!$F551)&lt;=6, YEAR('Call Data'!$F551), YEAR('Call Data'!$F551)+1)</f>
        <v>2023</v>
      </c>
      <c r="K551" s="23" t="str">
        <f>TEXT('Call Data'!$F551,"DDDD")</f>
        <v>Thursday</v>
      </c>
      <c r="L551" s="23" t="s">
        <v>27</v>
      </c>
      <c r="M551" s="23">
        <f>ROUND('Call Data'!$I551,0)</f>
        <v>4</v>
      </c>
    </row>
    <row r="552" spans="1:13" ht="14.25" customHeight="1" x14ac:dyDescent="0.35">
      <c r="A552" s="23" t="s">
        <v>586</v>
      </c>
      <c r="B552" s="23" t="s">
        <v>58</v>
      </c>
      <c r="C552" s="23">
        <v>127</v>
      </c>
      <c r="D552" s="24" t="str" cm="1">
        <f t="array" ref="D552">_xlfn.IFS(CallData[[#This Row],[Duration]]&lt;=15,"Very short",CallData[[#This Row],[Duration]]&lt;=30,"Short",CallData[[#This Row],[Duration]]&lt;=60,"Medium",CallData[[#This Row],[Duration]]&gt;60,"Long")</f>
        <v>Long</v>
      </c>
      <c r="E552" s="24" t="s">
        <v>24</v>
      </c>
      <c r="F552" s="25">
        <v>45093</v>
      </c>
      <c r="G552" s="26">
        <v>200</v>
      </c>
      <c r="H552" s="26" t="str" cm="1">
        <f t="array" ref="H552">_xlfn.IFS(CallData[[#This Row],[Purchase Amount]]&lt;=50,"Low",CallData[[#This Row],[Purchase Amount]]&lt;=100,"Medium",CallData[[#This Row],[Purchase Amount]]&lt;=150,"High",CallData[[#This Row],[Purchase Amount]]&gt;150,"Very High")</f>
        <v>Very High</v>
      </c>
      <c r="I552" s="23">
        <v>4.8</v>
      </c>
      <c r="J552" s="23">
        <f>IF(MONTH('Call Data'!$F552)&lt;=6, YEAR('Call Data'!$F552), YEAR('Call Data'!$F552)+1)</f>
        <v>2023</v>
      </c>
      <c r="K552" s="23" t="str">
        <f>TEXT('Call Data'!$F552,"DDDD")</f>
        <v>Friday</v>
      </c>
      <c r="L552" s="23" t="s">
        <v>25</v>
      </c>
      <c r="M552" s="23">
        <f>ROUND('Call Data'!$I552,0)</f>
        <v>5</v>
      </c>
    </row>
    <row r="553" spans="1:13" ht="14.25" customHeight="1" x14ac:dyDescent="0.35">
      <c r="A553" s="23" t="s">
        <v>587</v>
      </c>
      <c r="B553" s="23" t="s">
        <v>23</v>
      </c>
      <c r="C553" s="23">
        <v>132</v>
      </c>
      <c r="D553" s="24" t="str" cm="1">
        <f t="array" ref="D553">_xlfn.IFS(CallData[[#This Row],[Duration]]&lt;=15,"Very short",CallData[[#This Row],[Duration]]&lt;=30,"Short",CallData[[#This Row],[Duration]]&lt;=60,"Medium",CallData[[#This Row],[Duration]]&gt;60,"Long")</f>
        <v>Long</v>
      </c>
      <c r="E553" s="24" t="s">
        <v>35</v>
      </c>
      <c r="F553" s="25">
        <v>45094</v>
      </c>
      <c r="G553" s="26">
        <v>50</v>
      </c>
      <c r="H553" s="26" t="str" cm="1">
        <f t="array" ref="H553">_xlfn.IFS(CallData[[#This Row],[Purchase Amount]]&lt;=50,"Low",CallData[[#This Row],[Purchase Amount]]&lt;=100,"Medium",CallData[[#This Row],[Purchase Amount]]&lt;=150,"High",CallData[[#This Row],[Purchase Amount]]&gt;150,"Very High")</f>
        <v>Low</v>
      </c>
      <c r="I553" s="23">
        <v>4.2</v>
      </c>
      <c r="J553" s="23">
        <f>IF(MONTH('Call Data'!$F553)&lt;=6, YEAR('Call Data'!$F553), YEAR('Call Data'!$F553)+1)</f>
        <v>2023</v>
      </c>
      <c r="K553" s="23" t="str">
        <f>TEXT('Call Data'!$F553,"DDDD")</f>
        <v>Saturday</v>
      </c>
      <c r="L553" s="23" t="s">
        <v>25</v>
      </c>
      <c r="M553" s="23">
        <f>ROUND('Call Data'!$I553,0)</f>
        <v>4</v>
      </c>
    </row>
    <row r="554" spans="1:13" ht="14.25" customHeight="1" x14ac:dyDescent="0.35">
      <c r="A554" s="23" t="s">
        <v>588</v>
      </c>
      <c r="B554" s="23" t="s">
        <v>12</v>
      </c>
      <c r="C554" s="23">
        <v>106</v>
      </c>
      <c r="D554" s="24" t="str" cm="1">
        <f t="array" ref="D554">_xlfn.IFS(CallData[[#This Row],[Duration]]&lt;=15,"Very short",CallData[[#This Row],[Duration]]&lt;=30,"Short",CallData[[#This Row],[Duration]]&lt;=60,"Medium",CallData[[#This Row],[Duration]]&gt;60,"Long")</f>
        <v>Long</v>
      </c>
      <c r="E554" s="24" t="s">
        <v>31</v>
      </c>
      <c r="F554" s="25">
        <v>45094</v>
      </c>
      <c r="G554" s="26">
        <v>112</v>
      </c>
      <c r="H554" s="26" t="str" cm="1">
        <f t="array" ref="H554">_xlfn.IFS(CallData[[#This Row],[Purchase Amount]]&lt;=50,"Low",CallData[[#This Row],[Purchase Amount]]&lt;=100,"Medium",CallData[[#This Row],[Purchase Amount]]&lt;=150,"High",CallData[[#This Row],[Purchase Amount]]&gt;150,"Very High")</f>
        <v>High</v>
      </c>
      <c r="I554" s="23">
        <v>3.7</v>
      </c>
      <c r="J554" s="23">
        <f>IF(MONTH('Call Data'!$F554)&lt;=6, YEAR('Call Data'!$F554), YEAR('Call Data'!$F554)+1)</f>
        <v>2023</v>
      </c>
      <c r="K554" s="23" t="str">
        <f>TEXT('Call Data'!$F554,"DDDD")</f>
        <v>Saturday</v>
      </c>
      <c r="L554" s="23" t="s">
        <v>14</v>
      </c>
      <c r="M554" s="23">
        <f>ROUND('Call Data'!$I554,0)</f>
        <v>4</v>
      </c>
    </row>
    <row r="555" spans="1:13" ht="14.25" customHeight="1" x14ac:dyDescent="0.35">
      <c r="A555" s="23" t="s">
        <v>589</v>
      </c>
      <c r="B555" s="23" t="s">
        <v>88</v>
      </c>
      <c r="C555" s="23">
        <v>107</v>
      </c>
      <c r="D555" s="24" t="str" cm="1">
        <f t="array" ref="D555">_xlfn.IFS(CallData[[#This Row],[Duration]]&lt;=15,"Very short",CallData[[#This Row],[Duration]]&lt;=30,"Short",CallData[[#This Row],[Duration]]&lt;=60,"Medium",CallData[[#This Row],[Duration]]&gt;60,"Long")</f>
        <v>Long</v>
      </c>
      <c r="E555" s="24" t="s">
        <v>35</v>
      </c>
      <c r="F555" s="25">
        <v>45095</v>
      </c>
      <c r="G555" s="26">
        <v>39</v>
      </c>
      <c r="H555" s="26" t="str" cm="1">
        <f t="array" ref="H555">_xlfn.IFS(CallData[[#This Row],[Purchase Amount]]&lt;=50,"Low",CallData[[#This Row],[Purchase Amount]]&lt;=100,"Medium",CallData[[#This Row],[Purchase Amount]]&lt;=150,"High",CallData[[#This Row],[Purchase Amount]]&gt;150,"Very High")</f>
        <v>Low</v>
      </c>
      <c r="I555" s="23">
        <v>4.8</v>
      </c>
      <c r="J555" s="23">
        <f>IF(MONTH('Call Data'!$F555)&lt;=6, YEAR('Call Data'!$F555), YEAR('Call Data'!$F555)+1)</f>
        <v>2023</v>
      </c>
      <c r="K555" s="23" t="str">
        <f>TEXT('Call Data'!$F555,"DDDD")</f>
        <v>Sunday</v>
      </c>
      <c r="L555" s="23" t="s">
        <v>14</v>
      </c>
      <c r="M555" s="23">
        <f>ROUND('Call Data'!$I555,0)</f>
        <v>5</v>
      </c>
    </row>
    <row r="556" spans="1:13" ht="14.25" customHeight="1" x14ac:dyDescent="0.35">
      <c r="A556" s="23" t="s">
        <v>590</v>
      </c>
      <c r="B556" s="23" t="s">
        <v>34</v>
      </c>
      <c r="C556" s="23">
        <v>85</v>
      </c>
      <c r="D556" s="24" t="str" cm="1">
        <f t="array" ref="D556">_xlfn.IFS(CallData[[#This Row],[Duration]]&lt;=15,"Very short",CallData[[#This Row],[Duration]]&lt;=30,"Short",CallData[[#This Row],[Duration]]&lt;=60,"Medium",CallData[[#This Row],[Duration]]&gt;60,"Long")</f>
        <v>Long</v>
      </c>
      <c r="E556" s="24" t="s">
        <v>31</v>
      </c>
      <c r="F556" s="25">
        <v>45095</v>
      </c>
      <c r="G556" s="26">
        <v>38</v>
      </c>
      <c r="H556" s="26" t="str" cm="1">
        <f t="array" ref="H556">_xlfn.IFS(CallData[[#This Row],[Purchase Amount]]&lt;=50,"Low",CallData[[#This Row],[Purchase Amount]]&lt;=100,"Medium",CallData[[#This Row],[Purchase Amount]]&lt;=150,"High",CallData[[#This Row],[Purchase Amount]]&gt;150,"Very High")</f>
        <v>Low</v>
      </c>
      <c r="I556" s="23">
        <v>4.8</v>
      </c>
      <c r="J556" s="23">
        <f>IF(MONTH('Call Data'!$F556)&lt;=6, YEAR('Call Data'!$F556), YEAR('Call Data'!$F556)+1)</f>
        <v>2023</v>
      </c>
      <c r="K556" s="23" t="str">
        <f>TEXT('Call Data'!$F556,"DDDD")</f>
        <v>Sunday</v>
      </c>
      <c r="L556" s="23" t="s">
        <v>14</v>
      </c>
      <c r="M556" s="23">
        <f>ROUND('Call Data'!$I556,0)</f>
        <v>5</v>
      </c>
    </row>
    <row r="557" spans="1:13" ht="14.25" customHeight="1" x14ac:dyDescent="0.35">
      <c r="A557" s="23" t="s">
        <v>591</v>
      </c>
      <c r="B557" s="23" t="s">
        <v>29</v>
      </c>
      <c r="C557" s="23">
        <v>49</v>
      </c>
      <c r="D557" s="24" t="str" cm="1">
        <f t="array" ref="D557">_xlfn.IFS(CallData[[#This Row],[Duration]]&lt;=15,"Very short",CallData[[#This Row],[Duration]]&lt;=30,"Short",CallData[[#This Row],[Duration]]&lt;=60,"Medium",CallData[[#This Row],[Duration]]&gt;60,"Long")</f>
        <v>Medium</v>
      </c>
      <c r="E557" s="24" t="s">
        <v>35</v>
      </c>
      <c r="F557" s="25">
        <v>45096</v>
      </c>
      <c r="G557" s="26">
        <v>84</v>
      </c>
      <c r="H557" s="26" t="str" cm="1">
        <f t="array" ref="H557">_xlfn.IFS(CallData[[#This Row],[Purchase Amount]]&lt;=50,"Low",CallData[[#This Row],[Purchase Amount]]&lt;=100,"Medium",CallData[[#This Row],[Purchase Amount]]&lt;=150,"High",CallData[[#This Row],[Purchase Amount]]&gt;150,"Very High")</f>
        <v>Medium</v>
      </c>
      <c r="I557" s="23">
        <v>2.9</v>
      </c>
      <c r="J557" s="23">
        <f>IF(MONTH('Call Data'!$F557)&lt;=6, YEAR('Call Data'!$F557), YEAR('Call Data'!$F557)+1)</f>
        <v>2023</v>
      </c>
      <c r="K557" s="23" t="str">
        <f>TEXT('Call Data'!$F557,"DDDD")</f>
        <v>Monday</v>
      </c>
      <c r="L557" s="23" t="s">
        <v>27</v>
      </c>
      <c r="M557" s="23">
        <f>ROUND('Call Data'!$I557,0)</f>
        <v>3</v>
      </c>
    </row>
    <row r="558" spans="1:13" ht="14.25" customHeight="1" x14ac:dyDescent="0.35">
      <c r="A558" s="23" t="s">
        <v>592</v>
      </c>
      <c r="B558" s="23" t="s">
        <v>40</v>
      </c>
      <c r="C558" s="23">
        <v>117</v>
      </c>
      <c r="D558" s="24" t="str" cm="1">
        <f t="array" ref="D558">_xlfn.IFS(CallData[[#This Row],[Duration]]&lt;=15,"Very short",CallData[[#This Row],[Duration]]&lt;=30,"Short",CallData[[#This Row],[Duration]]&lt;=60,"Medium",CallData[[#This Row],[Duration]]&gt;60,"Long")</f>
        <v>Long</v>
      </c>
      <c r="E558" s="24" t="s">
        <v>24</v>
      </c>
      <c r="F558" s="25">
        <v>45097</v>
      </c>
      <c r="G558" s="26">
        <v>82</v>
      </c>
      <c r="H558" s="26" t="str" cm="1">
        <f t="array" ref="H558">_xlfn.IFS(CallData[[#This Row],[Purchase Amount]]&lt;=50,"Low",CallData[[#This Row],[Purchase Amount]]&lt;=100,"Medium",CallData[[#This Row],[Purchase Amount]]&lt;=150,"High",CallData[[#This Row],[Purchase Amount]]&gt;150,"Very High")</f>
        <v>Medium</v>
      </c>
      <c r="I558" s="23">
        <v>3.5</v>
      </c>
      <c r="J558" s="23">
        <f>IF(MONTH('Call Data'!$F558)&lt;=6, YEAR('Call Data'!$F558), YEAR('Call Data'!$F558)+1)</f>
        <v>2023</v>
      </c>
      <c r="K558" s="23" t="str">
        <f>TEXT('Call Data'!$F558,"DDDD")</f>
        <v>Tuesday</v>
      </c>
      <c r="L558" s="23" t="s">
        <v>14</v>
      </c>
      <c r="M558" s="23">
        <f>ROUND('Call Data'!$I558,0)</f>
        <v>4</v>
      </c>
    </row>
    <row r="559" spans="1:13" ht="14.25" customHeight="1" x14ac:dyDescent="0.35">
      <c r="A559" s="23" t="s">
        <v>593</v>
      </c>
      <c r="B559" s="23" t="s">
        <v>88</v>
      </c>
      <c r="C559" s="23">
        <v>136</v>
      </c>
      <c r="D559" s="24" t="str" cm="1">
        <f t="array" ref="D559">_xlfn.IFS(CallData[[#This Row],[Duration]]&lt;=15,"Very short",CallData[[#This Row],[Duration]]&lt;=30,"Short",CallData[[#This Row],[Duration]]&lt;=60,"Medium",CallData[[#This Row],[Duration]]&gt;60,"Long")</f>
        <v>Long</v>
      </c>
      <c r="E559" s="24" t="s">
        <v>31</v>
      </c>
      <c r="F559" s="25">
        <v>45097</v>
      </c>
      <c r="G559" s="26">
        <v>37</v>
      </c>
      <c r="H559" s="26" t="str" cm="1">
        <f t="array" ref="H559">_xlfn.IFS(CallData[[#This Row],[Purchase Amount]]&lt;=50,"Low",CallData[[#This Row],[Purchase Amount]]&lt;=100,"Medium",CallData[[#This Row],[Purchase Amount]]&lt;=150,"High",CallData[[#This Row],[Purchase Amount]]&gt;150,"Very High")</f>
        <v>Low</v>
      </c>
      <c r="I559" s="23">
        <v>0.9</v>
      </c>
      <c r="J559" s="23">
        <f>IF(MONTH('Call Data'!$F559)&lt;=6, YEAR('Call Data'!$F559), YEAR('Call Data'!$F559)+1)</f>
        <v>2023</v>
      </c>
      <c r="K559" s="23" t="str">
        <f>TEXT('Call Data'!$F559,"DDDD")</f>
        <v>Tuesday</v>
      </c>
      <c r="L559" s="23" t="s">
        <v>25</v>
      </c>
      <c r="M559" s="23">
        <f>ROUND('Call Data'!$I559,0)</f>
        <v>1</v>
      </c>
    </row>
    <row r="560" spans="1:13" ht="14.25" customHeight="1" x14ac:dyDescent="0.35">
      <c r="A560" s="23" t="s">
        <v>594</v>
      </c>
      <c r="B560" s="23" t="s">
        <v>18</v>
      </c>
      <c r="C560" s="23">
        <v>130</v>
      </c>
      <c r="D560" s="24" t="str" cm="1">
        <f t="array" ref="D560">_xlfn.IFS(CallData[[#This Row],[Duration]]&lt;=15,"Very short",CallData[[#This Row],[Duration]]&lt;=30,"Short",CallData[[#This Row],[Duration]]&lt;=60,"Medium",CallData[[#This Row],[Duration]]&gt;60,"Long")</f>
        <v>Long</v>
      </c>
      <c r="E560" s="24" t="s">
        <v>19</v>
      </c>
      <c r="F560" s="25">
        <v>45098</v>
      </c>
      <c r="G560" s="26">
        <v>87</v>
      </c>
      <c r="H560" s="26" t="str" cm="1">
        <f t="array" ref="H560">_xlfn.IFS(CallData[[#This Row],[Purchase Amount]]&lt;=50,"Low",CallData[[#This Row],[Purchase Amount]]&lt;=100,"Medium",CallData[[#This Row],[Purchase Amount]]&lt;=150,"High",CallData[[#This Row],[Purchase Amount]]&gt;150,"Very High")</f>
        <v>Medium</v>
      </c>
      <c r="I560" s="23">
        <v>3.4</v>
      </c>
      <c r="J560" s="23">
        <f>IF(MONTH('Call Data'!$F560)&lt;=6, YEAR('Call Data'!$F560), YEAR('Call Data'!$F560)+1)</f>
        <v>2023</v>
      </c>
      <c r="K560" s="23" t="str">
        <f>TEXT('Call Data'!$F560,"DDDD")</f>
        <v>Wednesday</v>
      </c>
      <c r="L560" s="23" t="s">
        <v>25</v>
      </c>
      <c r="M560" s="23">
        <f>ROUND('Call Data'!$I560,0)</f>
        <v>3</v>
      </c>
    </row>
    <row r="561" spans="1:13" ht="14.25" customHeight="1" x14ac:dyDescent="0.35">
      <c r="A561" s="23" t="s">
        <v>595</v>
      </c>
      <c r="B561" s="23" t="s">
        <v>18</v>
      </c>
      <c r="C561" s="23">
        <v>73</v>
      </c>
      <c r="D561" s="24" t="str" cm="1">
        <f t="array" ref="D561">_xlfn.IFS(CallData[[#This Row],[Duration]]&lt;=15,"Very short",CallData[[#This Row],[Duration]]&lt;=30,"Short",CallData[[#This Row],[Duration]]&lt;=60,"Medium",CallData[[#This Row],[Duration]]&gt;60,"Long")</f>
        <v>Long</v>
      </c>
      <c r="E561" s="24" t="s">
        <v>19</v>
      </c>
      <c r="F561" s="25">
        <v>45098</v>
      </c>
      <c r="G561" s="26">
        <v>75</v>
      </c>
      <c r="H561" s="26" t="str" cm="1">
        <f t="array" ref="H561">_xlfn.IFS(CallData[[#This Row],[Purchase Amount]]&lt;=50,"Low",CallData[[#This Row],[Purchase Amount]]&lt;=100,"Medium",CallData[[#This Row],[Purchase Amount]]&lt;=150,"High",CallData[[#This Row],[Purchase Amount]]&gt;150,"Very High")</f>
        <v>Medium</v>
      </c>
      <c r="I561" s="23">
        <v>2.7</v>
      </c>
      <c r="J561" s="23">
        <f>IF(MONTH('Call Data'!$F561)&lt;=6, YEAR('Call Data'!$F561), YEAR('Call Data'!$F561)+1)</f>
        <v>2023</v>
      </c>
      <c r="K561" s="23" t="str">
        <f>TEXT('Call Data'!$F561,"DDDD")</f>
        <v>Wednesday</v>
      </c>
      <c r="L561" s="23" t="s">
        <v>14</v>
      </c>
      <c r="M561" s="23">
        <f>ROUND('Call Data'!$I561,0)</f>
        <v>3</v>
      </c>
    </row>
    <row r="562" spans="1:13" ht="14.25" customHeight="1" x14ac:dyDescent="0.35">
      <c r="A562" s="23" t="s">
        <v>596</v>
      </c>
      <c r="B562" s="23" t="s">
        <v>29</v>
      </c>
      <c r="C562" s="23">
        <v>80</v>
      </c>
      <c r="D562" s="24" t="str" cm="1">
        <f t="array" ref="D562">_xlfn.IFS(CallData[[#This Row],[Duration]]&lt;=15,"Very short",CallData[[#This Row],[Duration]]&lt;=30,"Short",CallData[[#This Row],[Duration]]&lt;=60,"Medium",CallData[[#This Row],[Duration]]&gt;60,"Long")</f>
        <v>Long</v>
      </c>
      <c r="E562" s="24" t="s">
        <v>35</v>
      </c>
      <c r="F562" s="25">
        <v>45098</v>
      </c>
      <c r="G562" s="26">
        <v>32</v>
      </c>
      <c r="H562" s="26" t="str" cm="1">
        <f t="array" ref="H562">_xlfn.IFS(CallData[[#This Row],[Purchase Amount]]&lt;=50,"Low",CallData[[#This Row],[Purchase Amount]]&lt;=100,"Medium",CallData[[#This Row],[Purchase Amount]]&lt;=150,"High",CallData[[#This Row],[Purchase Amount]]&gt;150,"Very High")</f>
        <v>Low</v>
      </c>
      <c r="I562" s="23">
        <v>4.7</v>
      </c>
      <c r="J562" s="23">
        <f>IF(MONTH('Call Data'!$F562)&lt;=6, YEAR('Call Data'!$F562), YEAR('Call Data'!$F562)+1)</f>
        <v>2023</v>
      </c>
      <c r="K562" s="23" t="str">
        <f>TEXT('Call Data'!$F562,"DDDD")</f>
        <v>Wednesday</v>
      </c>
      <c r="L562" s="23" t="s">
        <v>14</v>
      </c>
      <c r="M562" s="23">
        <f>ROUND('Call Data'!$I562,0)</f>
        <v>5</v>
      </c>
    </row>
    <row r="563" spans="1:13" ht="14.25" customHeight="1" x14ac:dyDescent="0.35">
      <c r="A563" s="23" t="s">
        <v>597</v>
      </c>
      <c r="B563" s="23" t="s">
        <v>68</v>
      </c>
      <c r="C563" s="23">
        <v>44</v>
      </c>
      <c r="D563" s="24" t="str" cm="1">
        <f t="array" ref="D563">_xlfn.IFS(CallData[[#This Row],[Duration]]&lt;=15,"Very short",CallData[[#This Row],[Duration]]&lt;=30,"Short",CallData[[#This Row],[Duration]]&lt;=60,"Medium",CallData[[#This Row],[Duration]]&gt;60,"Long")</f>
        <v>Medium</v>
      </c>
      <c r="E563" s="24" t="s">
        <v>24</v>
      </c>
      <c r="F563" s="25">
        <v>45098</v>
      </c>
      <c r="G563" s="26">
        <v>33</v>
      </c>
      <c r="H563" s="26" t="str" cm="1">
        <f t="array" ref="H563">_xlfn.IFS(CallData[[#This Row],[Purchase Amount]]&lt;=50,"Low",CallData[[#This Row],[Purchase Amount]]&lt;=100,"Medium",CallData[[#This Row],[Purchase Amount]]&lt;=150,"High",CallData[[#This Row],[Purchase Amount]]&gt;150,"Very High")</f>
        <v>Low</v>
      </c>
      <c r="I563" s="23">
        <v>3</v>
      </c>
      <c r="J563" s="23">
        <f>IF(MONTH('Call Data'!$F563)&lt;=6, YEAR('Call Data'!$F563), YEAR('Call Data'!$F563)+1)</f>
        <v>2023</v>
      </c>
      <c r="K563" s="23" t="str">
        <f>TEXT('Call Data'!$F563,"DDDD")</f>
        <v>Wednesday</v>
      </c>
      <c r="L563" s="23" t="s">
        <v>27</v>
      </c>
      <c r="M563" s="23">
        <f>ROUND('Call Data'!$I563,0)</f>
        <v>3</v>
      </c>
    </row>
    <row r="564" spans="1:13" ht="14.25" customHeight="1" x14ac:dyDescent="0.35">
      <c r="A564" s="23" t="s">
        <v>598</v>
      </c>
      <c r="B564" s="23" t="s">
        <v>68</v>
      </c>
      <c r="C564" s="23">
        <v>102</v>
      </c>
      <c r="D564" s="24" t="str" cm="1">
        <f t="array" ref="D564">_xlfn.IFS(CallData[[#This Row],[Duration]]&lt;=15,"Very short",CallData[[#This Row],[Duration]]&lt;=30,"Short",CallData[[#This Row],[Duration]]&lt;=60,"Medium",CallData[[#This Row],[Duration]]&gt;60,"Long")</f>
        <v>Long</v>
      </c>
      <c r="E564" s="24" t="s">
        <v>13</v>
      </c>
      <c r="F564" s="25">
        <v>45098</v>
      </c>
      <c r="G564" s="26">
        <v>76</v>
      </c>
      <c r="H564" s="26" t="str" cm="1">
        <f t="array" ref="H564">_xlfn.IFS(CallData[[#This Row],[Purchase Amount]]&lt;=50,"Low",CallData[[#This Row],[Purchase Amount]]&lt;=100,"Medium",CallData[[#This Row],[Purchase Amount]]&lt;=150,"High",CallData[[#This Row],[Purchase Amount]]&gt;150,"Very High")</f>
        <v>Medium</v>
      </c>
      <c r="I564" s="23">
        <v>4.2</v>
      </c>
      <c r="J564" s="23">
        <f>IF(MONTH('Call Data'!$F564)&lt;=6, YEAR('Call Data'!$F564), YEAR('Call Data'!$F564)+1)</f>
        <v>2023</v>
      </c>
      <c r="K564" s="23" t="str">
        <f>TEXT('Call Data'!$F564,"DDDD")</f>
        <v>Wednesday</v>
      </c>
      <c r="L564" s="23" t="s">
        <v>14</v>
      </c>
      <c r="M564" s="23">
        <f>ROUND('Call Data'!$I564,0)</f>
        <v>4</v>
      </c>
    </row>
    <row r="565" spans="1:13" ht="14.25" customHeight="1" x14ac:dyDescent="0.35">
      <c r="A565" s="23" t="s">
        <v>599</v>
      </c>
      <c r="B565" s="23" t="s">
        <v>55</v>
      </c>
      <c r="C565" s="23">
        <v>74</v>
      </c>
      <c r="D565" s="24" t="str" cm="1">
        <f t="array" ref="D565">_xlfn.IFS(CallData[[#This Row],[Duration]]&lt;=15,"Very short",CallData[[#This Row],[Duration]]&lt;=30,"Short",CallData[[#This Row],[Duration]]&lt;=60,"Medium",CallData[[#This Row],[Duration]]&gt;60,"Long")</f>
        <v>Long</v>
      </c>
      <c r="E565" s="24" t="s">
        <v>13</v>
      </c>
      <c r="F565" s="25">
        <v>45098</v>
      </c>
      <c r="G565" s="26">
        <v>117</v>
      </c>
      <c r="H565" s="26" t="str" cm="1">
        <f t="array" ref="H565">_xlfn.IFS(CallData[[#This Row],[Purchase Amount]]&lt;=50,"Low",CallData[[#This Row],[Purchase Amount]]&lt;=100,"Medium",CallData[[#This Row],[Purchase Amount]]&lt;=150,"High",CallData[[#This Row],[Purchase Amount]]&gt;150,"Very High")</f>
        <v>High</v>
      </c>
      <c r="I565" s="23">
        <v>4.8</v>
      </c>
      <c r="J565" s="23">
        <f>IF(MONTH('Call Data'!$F565)&lt;=6, YEAR('Call Data'!$F565), YEAR('Call Data'!$F565)+1)</f>
        <v>2023</v>
      </c>
      <c r="K565" s="23" t="str">
        <f>TEXT('Call Data'!$F565,"DDDD")</f>
        <v>Wednesday</v>
      </c>
      <c r="L565" s="23" t="s">
        <v>14</v>
      </c>
      <c r="M565" s="23">
        <f>ROUND('Call Data'!$I565,0)</f>
        <v>5</v>
      </c>
    </row>
    <row r="566" spans="1:13" ht="14.25" customHeight="1" x14ac:dyDescent="0.35">
      <c r="A566" s="23" t="s">
        <v>600</v>
      </c>
      <c r="B566" s="23" t="s">
        <v>29</v>
      </c>
      <c r="C566" s="23">
        <v>52</v>
      </c>
      <c r="D566" s="24" t="str" cm="1">
        <f t="array" ref="D566">_xlfn.IFS(CallData[[#This Row],[Duration]]&lt;=15,"Very short",CallData[[#This Row],[Duration]]&lt;=30,"Short",CallData[[#This Row],[Duration]]&lt;=60,"Medium",CallData[[#This Row],[Duration]]&gt;60,"Long")</f>
        <v>Medium</v>
      </c>
      <c r="E566" s="24" t="s">
        <v>24</v>
      </c>
      <c r="F566" s="25">
        <v>45100</v>
      </c>
      <c r="G566" s="26">
        <v>70</v>
      </c>
      <c r="H566" s="26" t="str" cm="1">
        <f t="array" ref="H566">_xlfn.IFS(CallData[[#This Row],[Purchase Amount]]&lt;=50,"Low",CallData[[#This Row],[Purchase Amount]]&lt;=100,"Medium",CallData[[#This Row],[Purchase Amount]]&lt;=150,"High",CallData[[#This Row],[Purchase Amount]]&gt;150,"Very High")</f>
        <v>Medium</v>
      </c>
      <c r="I566" s="23">
        <v>4.0999999999999996</v>
      </c>
      <c r="J566" s="23">
        <f>IF(MONTH('Call Data'!$F566)&lt;=6, YEAR('Call Data'!$F566), YEAR('Call Data'!$F566)+1)</f>
        <v>2023</v>
      </c>
      <c r="K566" s="23" t="str">
        <f>TEXT('Call Data'!$F566,"DDDD")</f>
        <v>Friday</v>
      </c>
      <c r="L566" s="23" t="s">
        <v>27</v>
      </c>
      <c r="M566" s="23">
        <f>ROUND('Call Data'!$I566,0)</f>
        <v>4</v>
      </c>
    </row>
    <row r="567" spans="1:13" ht="14.25" customHeight="1" x14ac:dyDescent="0.35">
      <c r="A567" s="23" t="s">
        <v>601</v>
      </c>
      <c r="B567" s="23" t="s">
        <v>29</v>
      </c>
      <c r="C567" s="23">
        <v>74</v>
      </c>
      <c r="D567" s="24" t="str" cm="1">
        <f t="array" ref="D567">_xlfn.IFS(CallData[[#This Row],[Duration]]&lt;=15,"Very short",CallData[[#This Row],[Duration]]&lt;=30,"Short",CallData[[#This Row],[Duration]]&lt;=60,"Medium",CallData[[#This Row],[Duration]]&gt;60,"Long")</f>
        <v>Long</v>
      </c>
      <c r="E567" s="24" t="s">
        <v>19</v>
      </c>
      <c r="F567" s="25">
        <v>45100</v>
      </c>
      <c r="G567" s="26">
        <v>37</v>
      </c>
      <c r="H567" s="26" t="str" cm="1">
        <f t="array" ref="H567">_xlfn.IFS(CallData[[#This Row],[Purchase Amount]]&lt;=50,"Low",CallData[[#This Row],[Purchase Amount]]&lt;=100,"Medium",CallData[[#This Row],[Purchase Amount]]&lt;=150,"High",CallData[[#This Row],[Purchase Amount]]&gt;150,"Very High")</f>
        <v>Low</v>
      </c>
      <c r="I567" s="23">
        <v>2.7</v>
      </c>
      <c r="J567" s="23">
        <f>IF(MONTH('Call Data'!$F567)&lt;=6, YEAR('Call Data'!$F567), YEAR('Call Data'!$F567)+1)</f>
        <v>2023</v>
      </c>
      <c r="K567" s="23" t="str">
        <f>TEXT('Call Data'!$F567,"DDDD")</f>
        <v>Friday</v>
      </c>
      <c r="L567" s="23" t="s">
        <v>14</v>
      </c>
      <c r="M567" s="23">
        <f>ROUND('Call Data'!$I567,0)</f>
        <v>3</v>
      </c>
    </row>
    <row r="568" spans="1:13" ht="14.25" customHeight="1" x14ac:dyDescent="0.35">
      <c r="A568" s="23" t="s">
        <v>602</v>
      </c>
      <c r="B568" s="23" t="s">
        <v>18</v>
      </c>
      <c r="C568" s="23">
        <v>96</v>
      </c>
      <c r="D568" s="24" t="str" cm="1">
        <f t="array" ref="D568">_xlfn.IFS(CallData[[#This Row],[Duration]]&lt;=15,"Very short",CallData[[#This Row],[Duration]]&lt;=30,"Short",CallData[[#This Row],[Duration]]&lt;=60,"Medium",CallData[[#This Row],[Duration]]&gt;60,"Long")</f>
        <v>Long</v>
      </c>
      <c r="E568" s="24" t="s">
        <v>13</v>
      </c>
      <c r="F568" s="25">
        <v>45100</v>
      </c>
      <c r="G568" s="26">
        <v>46</v>
      </c>
      <c r="H568" s="26" t="str" cm="1">
        <f t="array" ref="H568">_xlfn.IFS(CallData[[#This Row],[Purchase Amount]]&lt;=50,"Low",CallData[[#This Row],[Purchase Amount]]&lt;=100,"Medium",CallData[[#This Row],[Purchase Amount]]&lt;=150,"High",CallData[[#This Row],[Purchase Amount]]&gt;150,"Very High")</f>
        <v>Low</v>
      </c>
      <c r="I568" s="23">
        <v>2.9</v>
      </c>
      <c r="J568" s="23">
        <f>IF(MONTH('Call Data'!$F568)&lt;=6, YEAR('Call Data'!$F568), YEAR('Call Data'!$F568)+1)</f>
        <v>2023</v>
      </c>
      <c r="K568" s="23" t="str">
        <f>TEXT('Call Data'!$F568,"DDDD")</f>
        <v>Friday</v>
      </c>
      <c r="L568" s="23" t="s">
        <v>14</v>
      </c>
      <c r="M568" s="23">
        <f>ROUND('Call Data'!$I568,0)</f>
        <v>3</v>
      </c>
    </row>
    <row r="569" spans="1:13" ht="14.25" customHeight="1" x14ac:dyDescent="0.35">
      <c r="A569" s="23" t="s">
        <v>603</v>
      </c>
      <c r="B569" s="23" t="s">
        <v>38</v>
      </c>
      <c r="C569" s="23">
        <v>104</v>
      </c>
      <c r="D569" s="24" t="str" cm="1">
        <f t="array" ref="D569">_xlfn.IFS(CallData[[#This Row],[Duration]]&lt;=15,"Very short",CallData[[#This Row],[Duration]]&lt;=30,"Short",CallData[[#This Row],[Duration]]&lt;=60,"Medium",CallData[[#This Row],[Duration]]&gt;60,"Long")</f>
        <v>Long</v>
      </c>
      <c r="E569" s="24" t="s">
        <v>35</v>
      </c>
      <c r="F569" s="25">
        <v>45100</v>
      </c>
      <c r="G569" s="26">
        <v>136</v>
      </c>
      <c r="H569" s="26" t="str" cm="1">
        <f t="array" ref="H569">_xlfn.IFS(CallData[[#This Row],[Purchase Amount]]&lt;=50,"Low",CallData[[#This Row],[Purchase Amount]]&lt;=100,"Medium",CallData[[#This Row],[Purchase Amount]]&lt;=150,"High",CallData[[#This Row],[Purchase Amount]]&gt;150,"Very High")</f>
        <v>High</v>
      </c>
      <c r="I569" s="23">
        <v>5</v>
      </c>
      <c r="J569" s="23">
        <f>IF(MONTH('Call Data'!$F569)&lt;=6, YEAR('Call Data'!$F569), YEAR('Call Data'!$F569)+1)</f>
        <v>2023</v>
      </c>
      <c r="K569" s="23" t="str">
        <f>TEXT('Call Data'!$F569,"DDDD")</f>
        <v>Friday</v>
      </c>
      <c r="L569" s="23" t="s">
        <v>14</v>
      </c>
      <c r="M569" s="23">
        <f>ROUND('Call Data'!$I569,0)</f>
        <v>5</v>
      </c>
    </row>
    <row r="570" spans="1:13" ht="14.25" customHeight="1" x14ac:dyDescent="0.35">
      <c r="A570" s="23" t="s">
        <v>604</v>
      </c>
      <c r="B570" s="23" t="s">
        <v>18</v>
      </c>
      <c r="C570" s="23">
        <v>123</v>
      </c>
      <c r="D570" s="24" t="str" cm="1">
        <f t="array" ref="D570">_xlfn.IFS(CallData[[#This Row],[Duration]]&lt;=15,"Very short",CallData[[#This Row],[Duration]]&lt;=30,"Short",CallData[[#This Row],[Duration]]&lt;=60,"Medium",CallData[[#This Row],[Duration]]&gt;60,"Long")</f>
        <v>Long</v>
      </c>
      <c r="E570" s="24" t="s">
        <v>13</v>
      </c>
      <c r="F570" s="25">
        <v>45101</v>
      </c>
      <c r="G570" s="26">
        <v>44</v>
      </c>
      <c r="H570" s="26" t="str" cm="1">
        <f t="array" ref="H570">_xlfn.IFS(CallData[[#This Row],[Purchase Amount]]&lt;=50,"Low",CallData[[#This Row],[Purchase Amount]]&lt;=100,"Medium",CallData[[#This Row],[Purchase Amount]]&lt;=150,"High",CallData[[#This Row],[Purchase Amount]]&gt;150,"Very High")</f>
        <v>Low</v>
      </c>
      <c r="I570" s="23">
        <v>4.5999999999999996</v>
      </c>
      <c r="J570" s="23">
        <f>IF(MONTH('Call Data'!$F570)&lt;=6, YEAR('Call Data'!$F570), YEAR('Call Data'!$F570)+1)</f>
        <v>2023</v>
      </c>
      <c r="K570" s="23" t="str">
        <f>TEXT('Call Data'!$F570,"DDDD")</f>
        <v>Saturday</v>
      </c>
      <c r="L570" s="23" t="s">
        <v>25</v>
      </c>
      <c r="M570" s="23">
        <f>ROUND('Call Data'!$I570,0)</f>
        <v>5</v>
      </c>
    </row>
    <row r="571" spans="1:13" ht="14.25" customHeight="1" x14ac:dyDescent="0.35">
      <c r="A571" s="23" t="s">
        <v>605</v>
      </c>
      <c r="B571" s="23" t="s">
        <v>46</v>
      </c>
      <c r="C571" s="23">
        <v>100</v>
      </c>
      <c r="D571" s="24" t="str" cm="1">
        <f t="array" ref="D571">_xlfn.IFS(CallData[[#This Row],[Duration]]&lt;=15,"Very short",CallData[[#This Row],[Duration]]&lt;=30,"Short",CallData[[#This Row],[Duration]]&lt;=60,"Medium",CallData[[#This Row],[Duration]]&gt;60,"Long")</f>
        <v>Long</v>
      </c>
      <c r="E571" s="24" t="s">
        <v>31</v>
      </c>
      <c r="F571" s="25">
        <v>45101</v>
      </c>
      <c r="G571" s="26">
        <v>69</v>
      </c>
      <c r="H571" s="26" t="str" cm="1">
        <f t="array" ref="H571">_xlfn.IFS(CallData[[#This Row],[Purchase Amount]]&lt;=50,"Low",CallData[[#This Row],[Purchase Amount]]&lt;=100,"Medium",CallData[[#This Row],[Purchase Amount]]&lt;=150,"High",CallData[[#This Row],[Purchase Amount]]&gt;150,"Very High")</f>
        <v>Medium</v>
      </c>
      <c r="I571" s="23">
        <v>3</v>
      </c>
      <c r="J571" s="23">
        <f>IF(MONTH('Call Data'!$F571)&lt;=6, YEAR('Call Data'!$F571), YEAR('Call Data'!$F571)+1)</f>
        <v>2023</v>
      </c>
      <c r="K571" s="23" t="str">
        <f>TEXT('Call Data'!$F571,"DDDD")</f>
        <v>Saturday</v>
      </c>
      <c r="L571" s="23" t="s">
        <v>14</v>
      </c>
      <c r="M571" s="23">
        <f>ROUND('Call Data'!$I571,0)</f>
        <v>3</v>
      </c>
    </row>
    <row r="572" spans="1:13" ht="14.25" customHeight="1" x14ac:dyDescent="0.35">
      <c r="A572" s="23" t="s">
        <v>606</v>
      </c>
      <c r="B572" s="23" t="s">
        <v>38</v>
      </c>
      <c r="C572" s="23">
        <v>35</v>
      </c>
      <c r="D572" s="24" t="str" cm="1">
        <f t="array" ref="D572">_xlfn.IFS(CallData[[#This Row],[Duration]]&lt;=15,"Very short",CallData[[#This Row],[Duration]]&lt;=30,"Short",CallData[[#This Row],[Duration]]&lt;=60,"Medium",CallData[[#This Row],[Duration]]&gt;60,"Long")</f>
        <v>Medium</v>
      </c>
      <c r="E572" s="24" t="s">
        <v>24</v>
      </c>
      <c r="F572" s="25">
        <v>45102</v>
      </c>
      <c r="G572" s="26">
        <v>86</v>
      </c>
      <c r="H572" s="26" t="str" cm="1">
        <f t="array" ref="H572">_xlfn.IFS(CallData[[#This Row],[Purchase Amount]]&lt;=50,"Low",CallData[[#This Row],[Purchase Amount]]&lt;=100,"Medium",CallData[[#This Row],[Purchase Amount]]&lt;=150,"High",CallData[[#This Row],[Purchase Amount]]&gt;150,"Very High")</f>
        <v>Medium</v>
      </c>
      <c r="I572" s="23">
        <v>4.5999999999999996</v>
      </c>
      <c r="J572" s="23">
        <f>IF(MONTH('Call Data'!$F572)&lt;=6, YEAR('Call Data'!$F572), YEAR('Call Data'!$F572)+1)</f>
        <v>2023</v>
      </c>
      <c r="K572" s="23" t="str">
        <f>TEXT('Call Data'!$F572,"DDDD")</f>
        <v>Sunday</v>
      </c>
      <c r="L572" s="23" t="s">
        <v>27</v>
      </c>
      <c r="M572" s="23">
        <f>ROUND('Call Data'!$I572,0)</f>
        <v>5</v>
      </c>
    </row>
    <row r="573" spans="1:13" ht="14.25" customHeight="1" x14ac:dyDescent="0.35">
      <c r="A573" s="23" t="s">
        <v>607</v>
      </c>
      <c r="B573" s="23" t="s">
        <v>29</v>
      </c>
      <c r="C573" s="23">
        <v>123</v>
      </c>
      <c r="D573" s="24" t="str" cm="1">
        <f t="array" ref="D573">_xlfn.IFS(CallData[[#This Row],[Duration]]&lt;=15,"Very short",CallData[[#This Row],[Duration]]&lt;=30,"Short",CallData[[#This Row],[Duration]]&lt;=60,"Medium",CallData[[#This Row],[Duration]]&gt;60,"Long")</f>
        <v>Long</v>
      </c>
      <c r="E573" s="24" t="s">
        <v>35</v>
      </c>
      <c r="F573" s="25">
        <v>45102</v>
      </c>
      <c r="G573" s="26">
        <v>68</v>
      </c>
      <c r="H573" s="26" t="str" cm="1">
        <f t="array" ref="H573">_xlfn.IFS(CallData[[#This Row],[Purchase Amount]]&lt;=50,"Low",CallData[[#This Row],[Purchase Amount]]&lt;=100,"Medium",CallData[[#This Row],[Purchase Amount]]&lt;=150,"High",CallData[[#This Row],[Purchase Amount]]&gt;150,"Very High")</f>
        <v>Medium</v>
      </c>
      <c r="I573" s="23">
        <v>4.5</v>
      </c>
      <c r="J573" s="23">
        <f>IF(MONTH('Call Data'!$F573)&lt;=6, YEAR('Call Data'!$F573), YEAR('Call Data'!$F573)+1)</f>
        <v>2023</v>
      </c>
      <c r="K573" s="23" t="str">
        <f>TEXT('Call Data'!$F573,"DDDD")</f>
        <v>Sunday</v>
      </c>
      <c r="L573" s="23" t="s">
        <v>25</v>
      </c>
      <c r="M573" s="23">
        <f>ROUND('Call Data'!$I573,0)</f>
        <v>5</v>
      </c>
    </row>
    <row r="574" spans="1:13" ht="14.25" customHeight="1" x14ac:dyDescent="0.35">
      <c r="A574" s="23" t="s">
        <v>608</v>
      </c>
      <c r="B574" s="23" t="s">
        <v>40</v>
      </c>
      <c r="C574" s="23">
        <v>133</v>
      </c>
      <c r="D574" s="24" t="str" cm="1">
        <f t="array" ref="D574">_xlfn.IFS(CallData[[#This Row],[Duration]]&lt;=15,"Very short",CallData[[#This Row],[Duration]]&lt;=30,"Short",CallData[[#This Row],[Duration]]&lt;=60,"Medium",CallData[[#This Row],[Duration]]&gt;60,"Long")</f>
        <v>Long</v>
      </c>
      <c r="E574" s="24" t="s">
        <v>24</v>
      </c>
      <c r="F574" s="25">
        <v>45103</v>
      </c>
      <c r="G574" s="26">
        <v>21</v>
      </c>
      <c r="H574" s="26" t="str" cm="1">
        <f t="array" ref="H574">_xlfn.IFS(CallData[[#This Row],[Purchase Amount]]&lt;=50,"Low",CallData[[#This Row],[Purchase Amount]]&lt;=100,"Medium",CallData[[#This Row],[Purchase Amount]]&lt;=150,"High",CallData[[#This Row],[Purchase Amount]]&gt;150,"Very High")</f>
        <v>Low</v>
      </c>
      <c r="I574" s="23">
        <v>3.7</v>
      </c>
      <c r="J574" s="23">
        <f>IF(MONTH('Call Data'!$F574)&lt;=6, YEAR('Call Data'!$F574), YEAR('Call Data'!$F574)+1)</f>
        <v>2023</v>
      </c>
      <c r="K574" s="23" t="str">
        <f>TEXT('Call Data'!$F574,"DDDD")</f>
        <v>Monday</v>
      </c>
      <c r="L574" s="23" t="s">
        <v>25</v>
      </c>
      <c r="M574" s="23">
        <f>ROUND('Call Data'!$I574,0)</f>
        <v>4</v>
      </c>
    </row>
    <row r="575" spans="1:13" ht="14.25" customHeight="1" x14ac:dyDescent="0.35">
      <c r="A575" s="23" t="s">
        <v>609</v>
      </c>
      <c r="B575" s="23" t="s">
        <v>18</v>
      </c>
      <c r="C575" s="23">
        <v>126</v>
      </c>
      <c r="D575" s="24" t="str" cm="1">
        <f t="array" ref="D575">_xlfn.IFS(CallData[[#This Row],[Duration]]&lt;=15,"Very short",CallData[[#This Row],[Duration]]&lt;=30,"Short",CallData[[#This Row],[Duration]]&lt;=60,"Medium",CallData[[#This Row],[Duration]]&gt;60,"Long")</f>
        <v>Long</v>
      </c>
      <c r="E575" s="24" t="s">
        <v>19</v>
      </c>
      <c r="F575" s="25">
        <v>45103</v>
      </c>
      <c r="G575" s="26">
        <v>190</v>
      </c>
      <c r="H575" s="26" t="str" cm="1">
        <f t="array" ref="H575">_xlfn.IFS(CallData[[#This Row],[Purchase Amount]]&lt;=50,"Low",CallData[[#This Row],[Purchase Amount]]&lt;=100,"Medium",CallData[[#This Row],[Purchase Amount]]&lt;=150,"High",CallData[[#This Row],[Purchase Amount]]&gt;150,"Very High")</f>
        <v>Very High</v>
      </c>
      <c r="I575" s="23">
        <v>2.4</v>
      </c>
      <c r="J575" s="23">
        <f>IF(MONTH('Call Data'!$F575)&lt;=6, YEAR('Call Data'!$F575), YEAR('Call Data'!$F575)+1)</f>
        <v>2023</v>
      </c>
      <c r="K575" s="23" t="str">
        <f>TEXT('Call Data'!$F575,"DDDD")</f>
        <v>Monday</v>
      </c>
      <c r="L575" s="23" t="s">
        <v>25</v>
      </c>
      <c r="M575" s="23">
        <f>ROUND('Call Data'!$I575,0)</f>
        <v>2</v>
      </c>
    </row>
    <row r="576" spans="1:13" ht="14.25" customHeight="1" x14ac:dyDescent="0.35">
      <c r="A576" s="23" t="s">
        <v>610</v>
      </c>
      <c r="B576" s="23" t="s">
        <v>29</v>
      </c>
      <c r="C576" s="23">
        <v>39</v>
      </c>
      <c r="D576" s="24" t="str" cm="1">
        <f t="array" ref="D576">_xlfn.IFS(CallData[[#This Row],[Duration]]&lt;=15,"Very short",CallData[[#This Row],[Duration]]&lt;=30,"Short",CallData[[#This Row],[Duration]]&lt;=60,"Medium",CallData[[#This Row],[Duration]]&gt;60,"Long")</f>
        <v>Medium</v>
      </c>
      <c r="E576" s="24" t="s">
        <v>13</v>
      </c>
      <c r="F576" s="25">
        <v>45103</v>
      </c>
      <c r="G576" s="26">
        <v>176</v>
      </c>
      <c r="H576" s="26" t="str" cm="1">
        <f t="array" ref="H576">_xlfn.IFS(CallData[[#This Row],[Purchase Amount]]&lt;=50,"Low",CallData[[#This Row],[Purchase Amount]]&lt;=100,"Medium",CallData[[#This Row],[Purchase Amount]]&lt;=150,"High",CallData[[#This Row],[Purchase Amount]]&gt;150,"Very High")</f>
        <v>Very High</v>
      </c>
      <c r="I576" s="23">
        <v>4.3</v>
      </c>
      <c r="J576" s="23">
        <f>IF(MONTH('Call Data'!$F576)&lt;=6, YEAR('Call Data'!$F576), YEAR('Call Data'!$F576)+1)</f>
        <v>2023</v>
      </c>
      <c r="K576" s="23" t="str">
        <f>TEXT('Call Data'!$F576,"DDDD")</f>
        <v>Monday</v>
      </c>
      <c r="L576" s="23" t="s">
        <v>27</v>
      </c>
      <c r="M576" s="23">
        <f>ROUND('Call Data'!$I576,0)</f>
        <v>4</v>
      </c>
    </row>
    <row r="577" spans="1:13" ht="14.25" customHeight="1" x14ac:dyDescent="0.35">
      <c r="A577" s="23" t="s">
        <v>611</v>
      </c>
      <c r="B577" s="23" t="s">
        <v>55</v>
      </c>
      <c r="C577" s="23">
        <v>31</v>
      </c>
      <c r="D577" s="24" t="str" cm="1">
        <f t="array" ref="D577">_xlfn.IFS(CallData[[#This Row],[Duration]]&lt;=15,"Very short",CallData[[#This Row],[Duration]]&lt;=30,"Short",CallData[[#This Row],[Duration]]&lt;=60,"Medium",CallData[[#This Row],[Duration]]&gt;60,"Long")</f>
        <v>Medium</v>
      </c>
      <c r="E577" s="24" t="s">
        <v>35</v>
      </c>
      <c r="F577" s="25">
        <v>45103</v>
      </c>
      <c r="G577" s="26">
        <v>172</v>
      </c>
      <c r="H577" s="26" t="str" cm="1">
        <f t="array" ref="H577">_xlfn.IFS(CallData[[#This Row],[Purchase Amount]]&lt;=50,"Low",CallData[[#This Row],[Purchase Amount]]&lt;=100,"Medium",CallData[[#This Row],[Purchase Amount]]&lt;=150,"High",CallData[[#This Row],[Purchase Amount]]&gt;150,"Very High")</f>
        <v>Very High</v>
      </c>
      <c r="I577" s="23">
        <v>3.9</v>
      </c>
      <c r="J577" s="23">
        <f>IF(MONTH('Call Data'!$F577)&lt;=6, YEAR('Call Data'!$F577), YEAR('Call Data'!$F577)+1)</f>
        <v>2023</v>
      </c>
      <c r="K577" s="23" t="str">
        <f>TEXT('Call Data'!$F577,"DDDD")</f>
        <v>Monday</v>
      </c>
      <c r="L577" s="23" t="s">
        <v>27</v>
      </c>
      <c r="M577" s="23">
        <f>ROUND('Call Data'!$I577,0)</f>
        <v>4</v>
      </c>
    </row>
    <row r="578" spans="1:13" ht="14.25" customHeight="1" x14ac:dyDescent="0.35">
      <c r="A578" s="23" t="s">
        <v>612</v>
      </c>
      <c r="B578" s="23" t="s">
        <v>23</v>
      </c>
      <c r="C578" s="23">
        <v>25</v>
      </c>
      <c r="D578" s="24" t="str" cm="1">
        <f t="array" ref="D578">_xlfn.IFS(CallData[[#This Row],[Duration]]&lt;=15,"Very short",CallData[[#This Row],[Duration]]&lt;=30,"Short",CallData[[#This Row],[Duration]]&lt;=60,"Medium",CallData[[#This Row],[Duration]]&gt;60,"Long")</f>
        <v>Short</v>
      </c>
      <c r="E578" s="24" t="s">
        <v>24</v>
      </c>
      <c r="F578" s="25">
        <v>45103</v>
      </c>
      <c r="G578" s="26">
        <v>84</v>
      </c>
      <c r="H578" s="26" t="str" cm="1">
        <f t="array" ref="H578">_xlfn.IFS(CallData[[#This Row],[Purchase Amount]]&lt;=50,"Low",CallData[[#This Row],[Purchase Amount]]&lt;=100,"Medium",CallData[[#This Row],[Purchase Amount]]&lt;=150,"High",CallData[[#This Row],[Purchase Amount]]&gt;150,"Very High")</f>
        <v>Medium</v>
      </c>
      <c r="I578" s="23">
        <v>4.5</v>
      </c>
      <c r="J578" s="23">
        <f>IF(MONTH('Call Data'!$F578)&lt;=6, YEAR('Call Data'!$F578), YEAR('Call Data'!$F578)+1)</f>
        <v>2023</v>
      </c>
      <c r="K578" s="23" t="str">
        <f>TEXT('Call Data'!$F578,"DDDD")</f>
        <v>Monday</v>
      </c>
      <c r="L578" s="23" t="s">
        <v>47</v>
      </c>
      <c r="M578" s="23">
        <f>ROUND('Call Data'!$I578,0)</f>
        <v>5</v>
      </c>
    </row>
    <row r="579" spans="1:13" ht="14.25" customHeight="1" x14ac:dyDescent="0.35">
      <c r="A579" s="23" t="s">
        <v>613</v>
      </c>
      <c r="B579" s="23" t="s">
        <v>16</v>
      </c>
      <c r="C579" s="23">
        <v>132</v>
      </c>
      <c r="D579" s="24" t="str" cm="1">
        <f t="array" ref="D579">_xlfn.IFS(CallData[[#This Row],[Duration]]&lt;=15,"Very short",CallData[[#This Row],[Duration]]&lt;=30,"Short",CallData[[#This Row],[Duration]]&lt;=60,"Medium",CallData[[#This Row],[Duration]]&gt;60,"Long")</f>
        <v>Long</v>
      </c>
      <c r="E579" s="24" t="s">
        <v>31</v>
      </c>
      <c r="F579" s="25">
        <v>45104</v>
      </c>
      <c r="G579" s="26">
        <v>42</v>
      </c>
      <c r="H579" s="26" t="str" cm="1">
        <f t="array" ref="H579">_xlfn.IFS(CallData[[#This Row],[Purchase Amount]]&lt;=50,"Low",CallData[[#This Row],[Purchase Amount]]&lt;=100,"Medium",CallData[[#This Row],[Purchase Amount]]&lt;=150,"High",CallData[[#This Row],[Purchase Amount]]&gt;150,"Very High")</f>
        <v>Low</v>
      </c>
      <c r="I579" s="23">
        <v>5</v>
      </c>
      <c r="J579" s="23">
        <f>IF(MONTH('Call Data'!$F579)&lt;=6, YEAR('Call Data'!$F579), YEAR('Call Data'!$F579)+1)</f>
        <v>2023</v>
      </c>
      <c r="K579" s="23" t="str">
        <f>TEXT('Call Data'!$F579,"DDDD")</f>
        <v>Tuesday</v>
      </c>
      <c r="L579" s="23" t="s">
        <v>25</v>
      </c>
      <c r="M579" s="23">
        <f>ROUND('Call Data'!$I579,0)</f>
        <v>5</v>
      </c>
    </row>
    <row r="580" spans="1:13" ht="14.25" customHeight="1" x14ac:dyDescent="0.35">
      <c r="A580" s="23" t="s">
        <v>614</v>
      </c>
      <c r="B580" s="23" t="s">
        <v>38</v>
      </c>
      <c r="C580" s="23">
        <v>63</v>
      </c>
      <c r="D580" s="24" t="str" cm="1">
        <f t="array" ref="D580">_xlfn.IFS(CallData[[#This Row],[Duration]]&lt;=15,"Very short",CallData[[#This Row],[Duration]]&lt;=30,"Short",CallData[[#This Row],[Duration]]&lt;=60,"Medium",CallData[[#This Row],[Duration]]&gt;60,"Long")</f>
        <v>Long</v>
      </c>
      <c r="E580" s="24" t="s">
        <v>19</v>
      </c>
      <c r="F580" s="25">
        <v>45104</v>
      </c>
      <c r="G580" s="26">
        <v>70</v>
      </c>
      <c r="H580" s="26" t="str" cm="1">
        <f t="array" ref="H580">_xlfn.IFS(CallData[[#This Row],[Purchase Amount]]&lt;=50,"Low",CallData[[#This Row],[Purchase Amount]]&lt;=100,"Medium",CallData[[#This Row],[Purchase Amount]]&lt;=150,"High",CallData[[#This Row],[Purchase Amount]]&gt;150,"Very High")</f>
        <v>Medium</v>
      </c>
      <c r="I580" s="23">
        <v>1.6</v>
      </c>
      <c r="J580" s="23">
        <f>IF(MONTH('Call Data'!$F580)&lt;=6, YEAR('Call Data'!$F580), YEAR('Call Data'!$F580)+1)</f>
        <v>2023</v>
      </c>
      <c r="K580" s="23" t="str">
        <f>TEXT('Call Data'!$F580,"DDDD")</f>
        <v>Tuesday</v>
      </c>
      <c r="L580" s="23" t="s">
        <v>14</v>
      </c>
      <c r="M580" s="23">
        <f>ROUND('Call Data'!$I580,0)</f>
        <v>2</v>
      </c>
    </row>
    <row r="581" spans="1:13" ht="14.25" customHeight="1" x14ac:dyDescent="0.35">
      <c r="A581" s="23" t="s">
        <v>615</v>
      </c>
      <c r="B581" s="23" t="s">
        <v>46</v>
      </c>
      <c r="C581" s="23">
        <v>135</v>
      </c>
      <c r="D581" s="24" t="str" cm="1">
        <f t="array" ref="D581">_xlfn.IFS(CallData[[#This Row],[Duration]]&lt;=15,"Very short",CallData[[#This Row],[Duration]]&lt;=30,"Short",CallData[[#This Row],[Duration]]&lt;=60,"Medium",CallData[[#This Row],[Duration]]&gt;60,"Long")</f>
        <v>Long</v>
      </c>
      <c r="E581" s="24" t="s">
        <v>31</v>
      </c>
      <c r="F581" s="25">
        <v>45104</v>
      </c>
      <c r="G581" s="26">
        <v>60</v>
      </c>
      <c r="H581" s="26" t="str" cm="1">
        <f t="array" ref="H581">_xlfn.IFS(CallData[[#This Row],[Purchase Amount]]&lt;=50,"Low",CallData[[#This Row],[Purchase Amount]]&lt;=100,"Medium",CallData[[#This Row],[Purchase Amount]]&lt;=150,"High",CallData[[#This Row],[Purchase Amount]]&gt;150,"Very High")</f>
        <v>Medium</v>
      </c>
      <c r="I581" s="23">
        <v>4.3</v>
      </c>
      <c r="J581" s="23">
        <f>IF(MONTH('Call Data'!$F581)&lt;=6, YEAR('Call Data'!$F581), YEAR('Call Data'!$F581)+1)</f>
        <v>2023</v>
      </c>
      <c r="K581" s="23" t="str">
        <f>TEXT('Call Data'!$F581,"DDDD")</f>
        <v>Tuesday</v>
      </c>
      <c r="L581" s="23" t="s">
        <v>25</v>
      </c>
      <c r="M581" s="23">
        <f>ROUND('Call Data'!$I581,0)</f>
        <v>4</v>
      </c>
    </row>
    <row r="582" spans="1:13" ht="14.25" customHeight="1" x14ac:dyDescent="0.35">
      <c r="A582" s="23" t="s">
        <v>616</v>
      </c>
      <c r="B582" s="23" t="s">
        <v>34</v>
      </c>
      <c r="C582" s="23">
        <v>101</v>
      </c>
      <c r="D582" s="24" t="str" cm="1">
        <f t="array" ref="D582">_xlfn.IFS(CallData[[#This Row],[Duration]]&lt;=15,"Very short",CallData[[#This Row],[Duration]]&lt;=30,"Short",CallData[[#This Row],[Duration]]&lt;=60,"Medium",CallData[[#This Row],[Duration]]&gt;60,"Long")</f>
        <v>Long</v>
      </c>
      <c r="E582" s="24" t="s">
        <v>19</v>
      </c>
      <c r="F582" s="25">
        <v>45104</v>
      </c>
      <c r="G582" s="26">
        <v>84</v>
      </c>
      <c r="H582" s="26" t="str" cm="1">
        <f t="array" ref="H582">_xlfn.IFS(CallData[[#This Row],[Purchase Amount]]&lt;=50,"Low",CallData[[#This Row],[Purchase Amount]]&lt;=100,"Medium",CallData[[#This Row],[Purchase Amount]]&lt;=150,"High",CallData[[#This Row],[Purchase Amount]]&gt;150,"Very High")</f>
        <v>Medium</v>
      </c>
      <c r="I582" s="23">
        <v>3.5</v>
      </c>
      <c r="J582" s="23">
        <f>IF(MONTH('Call Data'!$F582)&lt;=6, YEAR('Call Data'!$F582), YEAR('Call Data'!$F582)+1)</f>
        <v>2023</v>
      </c>
      <c r="K582" s="23" t="str">
        <f>TEXT('Call Data'!$F582,"DDDD")</f>
        <v>Tuesday</v>
      </c>
      <c r="L582" s="23" t="s">
        <v>14</v>
      </c>
      <c r="M582" s="23">
        <f>ROUND('Call Data'!$I582,0)</f>
        <v>4</v>
      </c>
    </row>
    <row r="583" spans="1:13" ht="14.25" customHeight="1" x14ac:dyDescent="0.35">
      <c r="A583" s="23" t="s">
        <v>617</v>
      </c>
      <c r="B583" s="23" t="s">
        <v>40</v>
      </c>
      <c r="C583" s="23">
        <v>80</v>
      </c>
      <c r="D583" s="24" t="str" cm="1">
        <f t="array" ref="D583">_xlfn.IFS(CallData[[#This Row],[Duration]]&lt;=15,"Very short",CallData[[#This Row],[Duration]]&lt;=30,"Short",CallData[[#This Row],[Duration]]&lt;=60,"Medium",CallData[[#This Row],[Duration]]&gt;60,"Long")</f>
        <v>Long</v>
      </c>
      <c r="E583" s="24" t="s">
        <v>13</v>
      </c>
      <c r="F583" s="25">
        <v>45105</v>
      </c>
      <c r="G583" s="26">
        <v>68</v>
      </c>
      <c r="H583" s="26" t="str" cm="1">
        <f t="array" ref="H583">_xlfn.IFS(CallData[[#This Row],[Purchase Amount]]&lt;=50,"Low",CallData[[#This Row],[Purchase Amount]]&lt;=100,"Medium",CallData[[#This Row],[Purchase Amount]]&lt;=150,"High",CallData[[#This Row],[Purchase Amount]]&gt;150,"Very High")</f>
        <v>Medium</v>
      </c>
      <c r="I583" s="23">
        <v>3.1</v>
      </c>
      <c r="J583" s="23">
        <f>IF(MONTH('Call Data'!$F583)&lt;=6, YEAR('Call Data'!$F583), YEAR('Call Data'!$F583)+1)</f>
        <v>2023</v>
      </c>
      <c r="K583" s="23" t="str">
        <f>TEXT('Call Data'!$F583,"DDDD")</f>
        <v>Wednesday</v>
      </c>
      <c r="L583" s="23" t="s">
        <v>14</v>
      </c>
      <c r="M583" s="23">
        <f>ROUND('Call Data'!$I583,0)</f>
        <v>3</v>
      </c>
    </row>
    <row r="584" spans="1:13" ht="14.25" customHeight="1" x14ac:dyDescent="0.35">
      <c r="A584" s="23" t="s">
        <v>618</v>
      </c>
      <c r="B584" s="23" t="s">
        <v>68</v>
      </c>
      <c r="C584" s="23">
        <v>28</v>
      </c>
      <c r="D584" s="24" t="str" cm="1">
        <f t="array" ref="D584">_xlfn.IFS(CallData[[#This Row],[Duration]]&lt;=15,"Very short",CallData[[#This Row],[Duration]]&lt;=30,"Short",CallData[[#This Row],[Duration]]&lt;=60,"Medium",CallData[[#This Row],[Duration]]&gt;60,"Long")</f>
        <v>Short</v>
      </c>
      <c r="E584" s="24" t="s">
        <v>13</v>
      </c>
      <c r="F584" s="25">
        <v>45105</v>
      </c>
      <c r="G584" s="26">
        <v>44</v>
      </c>
      <c r="H584" s="26" t="str" cm="1">
        <f t="array" ref="H584">_xlfn.IFS(CallData[[#This Row],[Purchase Amount]]&lt;=50,"Low",CallData[[#This Row],[Purchase Amount]]&lt;=100,"Medium",CallData[[#This Row],[Purchase Amount]]&lt;=150,"High",CallData[[#This Row],[Purchase Amount]]&gt;150,"Very High")</f>
        <v>Low</v>
      </c>
      <c r="I584" s="23">
        <v>2.9</v>
      </c>
      <c r="J584" s="23">
        <f>IF(MONTH('Call Data'!$F584)&lt;=6, YEAR('Call Data'!$F584), YEAR('Call Data'!$F584)+1)</f>
        <v>2023</v>
      </c>
      <c r="K584" s="23" t="str">
        <f>TEXT('Call Data'!$F584,"DDDD")</f>
        <v>Wednesday</v>
      </c>
      <c r="L584" s="23" t="s">
        <v>47</v>
      </c>
      <c r="M584" s="23">
        <f>ROUND('Call Data'!$I584,0)</f>
        <v>3</v>
      </c>
    </row>
    <row r="585" spans="1:13" ht="14.25" customHeight="1" x14ac:dyDescent="0.35">
      <c r="A585" s="23" t="s">
        <v>619</v>
      </c>
      <c r="B585" s="23" t="s">
        <v>34</v>
      </c>
      <c r="C585" s="23">
        <v>102</v>
      </c>
      <c r="D585" s="24" t="str" cm="1">
        <f t="array" ref="D585">_xlfn.IFS(CallData[[#This Row],[Duration]]&lt;=15,"Very short",CallData[[#This Row],[Duration]]&lt;=30,"Short",CallData[[#This Row],[Duration]]&lt;=60,"Medium",CallData[[#This Row],[Duration]]&gt;60,"Long")</f>
        <v>Long</v>
      </c>
      <c r="E585" s="24" t="s">
        <v>31</v>
      </c>
      <c r="F585" s="25">
        <v>45106</v>
      </c>
      <c r="G585" s="26">
        <v>99</v>
      </c>
      <c r="H585" s="26" t="str" cm="1">
        <f t="array" ref="H585">_xlfn.IFS(CallData[[#This Row],[Purchase Amount]]&lt;=50,"Low",CallData[[#This Row],[Purchase Amount]]&lt;=100,"Medium",CallData[[#This Row],[Purchase Amount]]&lt;=150,"High",CallData[[#This Row],[Purchase Amount]]&gt;150,"Very High")</f>
        <v>Medium</v>
      </c>
      <c r="I585" s="23">
        <v>3.2</v>
      </c>
      <c r="J585" s="23">
        <f>IF(MONTH('Call Data'!$F585)&lt;=6, YEAR('Call Data'!$F585), YEAR('Call Data'!$F585)+1)</f>
        <v>2023</v>
      </c>
      <c r="K585" s="23" t="str">
        <f>TEXT('Call Data'!$F585,"DDDD")</f>
        <v>Thursday</v>
      </c>
      <c r="L585" s="23" t="s">
        <v>14</v>
      </c>
      <c r="M585" s="23">
        <f>ROUND('Call Data'!$I585,0)</f>
        <v>3</v>
      </c>
    </row>
    <row r="586" spans="1:13" ht="14.25" customHeight="1" x14ac:dyDescent="0.35">
      <c r="A586" s="23" t="s">
        <v>620</v>
      </c>
      <c r="B586" s="23" t="s">
        <v>38</v>
      </c>
      <c r="C586" s="23">
        <v>60</v>
      </c>
      <c r="D586" s="24" t="str" cm="1">
        <f t="array" ref="D586">_xlfn.IFS(CallData[[#This Row],[Duration]]&lt;=15,"Very short",CallData[[#This Row],[Duration]]&lt;=30,"Short",CallData[[#This Row],[Duration]]&lt;=60,"Medium",CallData[[#This Row],[Duration]]&gt;60,"Long")</f>
        <v>Medium</v>
      </c>
      <c r="E586" s="24" t="s">
        <v>31</v>
      </c>
      <c r="F586" s="25">
        <v>45107</v>
      </c>
      <c r="G586" s="26">
        <v>66</v>
      </c>
      <c r="H586" s="26" t="str" cm="1">
        <f t="array" ref="H586">_xlfn.IFS(CallData[[#This Row],[Purchase Amount]]&lt;=50,"Low",CallData[[#This Row],[Purchase Amount]]&lt;=100,"Medium",CallData[[#This Row],[Purchase Amount]]&lt;=150,"High",CallData[[#This Row],[Purchase Amount]]&gt;150,"Very High")</f>
        <v>Medium</v>
      </c>
      <c r="I586" s="23">
        <v>3.2</v>
      </c>
      <c r="J586" s="23">
        <f>IF(MONTH('Call Data'!$F586)&lt;=6, YEAR('Call Data'!$F586), YEAR('Call Data'!$F586)+1)</f>
        <v>2023</v>
      </c>
      <c r="K586" s="23" t="str">
        <f>TEXT('Call Data'!$F586,"DDDD")</f>
        <v>Friday</v>
      </c>
      <c r="L586" s="23" t="s">
        <v>27</v>
      </c>
      <c r="M586" s="23">
        <f>ROUND('Call Data'!$I586,0)</f>
        <v>3</v>
      </c>
    </row>
    <row r="587" spans="1:13" ht="14.25" customHeight="1" x14ac:dyDescent="0.35">
      <c r="A587" s="23" t="s">
        <v>621</v>
      </c>
      <c r="B587" s="23" t="s">
        <v>21</v>
      </c>
      <c r="C587" s="23">
        <v>103</v>
      </c>
      <c r="D587" s="24" t="str" cm="1">
        <f t="array" ref="D587">_xlfn.IFS(CallData[[#This Row],[Duration]]&lt;=15,"Very short",CallData[[#This Row],[Duration]]&lt;=30,"Short",CallData[[#This Row],[Duration]]&lt;=60,"Medium",CallData[[#This Row],[Duration]]&gt;60,"Long")</f>
        <v>Long</v>
      </c>
      <c r="E587" s="24" t="s">
        <v>31</v>
      </c>
      <c r="F587" s="25">
        <v>45107</v>
      </c>
      <c r="G587" s="26">
        <v>102</v>
      </c>
      <c r="H587" s="26" t="str" cm="1">
        <f t="array" ref="H587">_xlfn.IFS(CallData[[#This Row],[Purchase Amount]]&lt;=50,"Low",CallData[[#This Row],[Purchase Amount]]&lt;=100,"Medium",CallData[[#This Row],[Purchase Amount]]&lt;=150,"High",CallData[[#This Row],[Purchase Amount]]&gt;150,"Very High")</f>
        <v>High</v>
      </c>
      <c r="I587" s="23">
        <v>4.5</v>
      </c>
      <c r="J587" s="23">
        <f>IF(MONTH('Call Data'!$F587)&lt;=6, YEAR('Call Data'!$F587), YEAR('Call Data'!$F587)+1)</f>
        <v>2023</v>
      </c>
      <c r="K587" s="23" t="str">
        <f>TEXT('Call Data'!$F587,"DDDD")</f>
        <v>Friday</v>
      </c>
      <c r="L587" s="23" t="s">
        <v>14</v>
      </c>
      <c r="M587" s="23">
        <f>ROUND('Call Data'!$I587,0)</f>
        <v>5</v>
      </c>
    </row>
    <row r="588" spans="1:13" ht="14.25" customHeight="1" x14ac:dyDescent="0.35">
      <c r="A588" s="23" t="s">
        <v>622</v>
      </c>
      <c r="B588" s="23" t="s">
        <v>40</v>
      </c>
      <c r="C588" s="23">
        <v>90</v>
      </c>
      <c r="D588" s="24" t="str" cm="1">
        <f t="array" ref="D588">_xlfn.IFS(CallData[[#This Row],[Duration]]&lt;=15,"Very short",CallData[[#This Row],[Duration]]&lt;=30,"Short",CallData[[#This Row],[Duration]]&lt;=60,"Medium",CallData[[#This Row],[Duration]]&gt;60,"Long")</f>
        <v>Long</v>
      </c>
      <c r="E588" s="24" t="s">
        <v>13</v>
      </c>
      <c r="F588" s="25">
        <v>45108</v>
      </c>
      <c r="G588" s="26">
        <v>129</v>
      </c>
      <c r="H588" s="26" t="str" cm="1">
        <f t="array" ref="H588">_xlfn.IFS(CallData[[#This Row],[Purchase Amount]]&lt;=50,"Low",CallData[[#This Row],[Purchase Amount]]&lt;=100,"Medium",CallData[[#This Row],[Purchase Amount]]&lt;=150,"High",CallData[[#This Row],[Purchase Amount]]&gt;150,"Very High")</f>
        <v>High</v>
      </c>
      <c r="I588" s="23">
        <v>3.9</v>
      </c>
      <c r="J588" s="23">
        <f>IF(MONTH('Call Data'!$F588)&lt;=6, YEAR('Call Data'!$F588), YEAR('Call Data'!$F588)+1)</f>
        <v>2024</v>
      </c>
      <c r="K588" s="23" t="str">
        <f>TEXT('Call Data'!$F588,"DDDD")</f>
        <v>Saturday</v>
      </c>
      <c r="L588" s="23" t="s">
        <v>14</v>
      </c>
      <c r="M588" s="23">
        <f>ROUND('Call Data'!$I588,0)</f>
        <v>4</v>
      </c>
    </row>
    <row r="589" spans="1:13" ht="14.25" customHeight="1" x14ac:dyDescent="0.35">
      <c r="A589" s="23" t="s">
        <v>623</v>
      </c>
      <c r="B589" s="23" t="s">
        <v>58</v>
      </c>
      <c r="C589" s="23">
        <v>88</v>
      </c>
      <c r="D589" s="24" t="str" cm="1">
        <f t="array" ref="D589">_xlfn.IFS(CallData[[#This Row],[Duration]]&lt;=15,"Very short",CallData[[#This Row],[Duration]]&lt;=30,"Short",CallData[[#This Row],[Duration]]&lt;=60,"Medium",CallData[[#This Row],[Duration]]&gt;60,"Long")</f>
        <v>Long</v>
      </c>
      <c r="E589" s="24" t="s">
        <v>31</v>
      </c>
      <c r="F589" s="25">
        <v>45108</v>
      </c>
      <c r="G589" s="26">
        <v>80</v>
      </c>
      <c r="H589" s="26" t="str" cm="1">
        <f t="array" ref="H589">_xlfn.IFS(CallData[[#This Row],[Purchase Amount]]&lt;=50,"Low",CallData[[#This Row],[Purchase Amount]]&lt;=100,"Medium",CallData[[#This Row],[Purchase Amount]]&lt;=150,"High",CallData[[#This Row],[Purchase Amount]]&gt;150,"Very High")</f>
        <v>Medium</v>
      </c>
      <c r="I589" s="23">
        <v>4.2</v>
      </c>
      <c r="J589" s="23">
        <f>IF(MONTH('Call Data'!$F589)&lt;=6, YEAR('Call Data'!$F589), YEAR('Call Data'!$F589)+1)</f>
        <v>2024</v>
      </c>
      <c r="K589" s="23" t="str">
        <f>TEXT('Call Data'!$F589,"DDDD")</f>
        <v>Saturday</v>
      </c>
      <c r="L589" s="23" t="s">
        <v>14</v>
      </c>
      <c r="M589" s="23">
        <f>ROUND('Call Data'!$I589,0)</f>
        <v>4</v>
      </c>
    </row>
    <row r="590" spans="1:13" ht="14.25" customHeight="1" x14ac:dyDescent="0.35">
      <c r="A590" s="23" t="s">
        <v>624</v>
      </c>
      <c r="B590" s="23" t="s">
        <v>21</v>
      </c>
      <c r="C590" s="23">
        <v>37</v>
      </c>
      <c r="D590" s="24" t="str" cm="1">
        <f t="array" ref="D590">_xlfn.IFS(CallData[[#This Row],[Duration]]&lt;=15,"Very short",CallData[[#This Row],[Duration]]&lt;=30,"Short",CallData[[#This Row],[Duration]]&lt;=60,"Medium",CallData[[#This Row],[Duration]]&gt;60,"Long")</f>
        <v>Medium</v>
      </c>
      <c r="E590" s="24" t="s">
        <v>31</v>
      </c>
      <c r="F590" s="25">
        <v>45108</v>
      </c>
      <c r="G590" s="26">
        <v>54</v>
      </c>
      <c r="H590" s="26" t="str" cm="1">
        <f t="array" ref="H590">_xlfn.IFS(CallData[[#This Row],[Purchase Amount]]&lt;=50,"Low",CallData[[#This Row],[Purchase Amount]]&lt;=100,"Medium",CallData[[#This Row],[Purchase Amount]]&lt;=150,"High",CallData[[#This Row],[Purchase Amount]]&gt;150,"Very High")</f>
        <v>Medium</v>
      </c>
      <c r="I590" s="23">
        <v>1.8</v>
      </c>
      <c r="J590" s="23">
        <f>IF(MONTH('Call Data'!$F590)&lt;=6, YEAR('Call Data'!$F590), YEAR('Call Data'!$F590)+1)</f>
        <v>2024</v>
      </c>
      <c r="K590" s="23" t="str">
        <f>TEXT('Call Data'!$F590,"DDDD")</f>
        <v>Saturday</v>
      </c>
      <c r="L590" s="23" t="s">
        <v>27</v>
      </c>
      <c r="M590" s="23">
        <f>ROUND('Call Data'!$I590,0)</f>
        <v>2</v>
      </c>
    </row>
    <row r="591" spans="1:13" ht="14.25" customHeight="1" x14ac:dyDescent="0.35">
      <c r="A591" s="23" t="s">
        <v>625</v>
      </c>
      <c r="B591" s="23" t="s">
        <v>68</v>
      </c>
      <c r="C591" s="23">
        <v>142</v>
      </c>
      <c r="D591" s="24" t="str" cm="1">
        <f t="array" ref="D591">_xlfn.IFS(CallData[[#This Row],[Duration]]&lt;=15,"Very short",CallData[[#This Row],[Duration]]&lt;=30,"Short",CallData[[#This Row],[Duration]]&lt;=60,"Medium",CallData[[#This Row],[Duration]]&gt;60,"Long")</f>
        <v>Long</v>
      </c>
      <c r="E591" s="24" t="s">
        <v>13</v>
      </c>
      <c r="F591" s="25">
        <v>45108</v>
      </c>
      <c r="G591" s="26">
        <v>116</v>
      </c>
      <c r="H591" s="26" t="str" cm="1">
        <f t="array" ref="H591">_xlfn.IFS(CallData[[#This Row],[Purchase Amount]]&lt;=50,"Low",CallData[[#This Row],[Purchase Amount]]&lt;=100,"Medium",CallData[[#This Row],[Purchase Amount]]&lt;=150,"High",CallData[[#This Row],[Purchase Amount]]&gt;150,"Very High")</f>
        <v>High</v>
      </c>
      <c r="I591" s="23">
        <v>4.2</v>
      </c>
      <c r="J591" s="23">
        <f>IF(MONTH('Call Data'!$F591)&lt;=6, YEAR('Call Data'!$F591), YEAR('Call Data'!$F591)+1)</f>
        <v>2024</v>
      </c>
      <c r="K591" s="23" t="str">
        <f>TEXT('Call Data'!$F591,"DDDD")</f>
        <v>Saturday</v>
      </c>
      <c r="L591" s="23" t="s">
        <v>25</v>
      </c>
      <c r="M591" s="23">
        <f>ROUND('Call Data'!$I591,0)</f>
        <v>4</v>
      </c>
    </row>
    <row r="592" spans="1:13" ht="14.25" customHeight="1" x14ac:dyDescent="0.35">
      <c r="A592" s="23" t="s">
        <v>626</v>
      </c>
      <c r="B592" s="23" t="s">
        <v>68</v>
      </c>
      <c r="C592" s="23">
        <v>153</v>
      </c>
      <c r="D592" s="24" t="str" cm="1">
        <f t="array" ref="D592">_xlfn.IFS(CallData[[#This Row],[Duration]]&lt;=15,"Very short",CallData[[#This Row],[Duration]]&lt;=30,"Short",CallData[[#This Row],[Duration]]&lt;=60,"Medium",CallData[[#This Row],[Duration]]&gt;60,"Long")</f>
        <v>Long</v>
      </c>
      <c r="E592" s="24" t="s">
        <v>24</v>
      </c>
      <c r="F592" s="25">
        <v>45108</v>
      </c>
      <c r="G592" s="26">
        <v>102</v>
      </c>
      <c r="H592" s="26" t="str" cm="1">
        <f t="array" ref="H592">_xlfn.IFS(CallData[[#This Row],[Purchase Amount]]&lt;=50,"Low",CallData[[#This Row],[Purchase Amount]]&lt;=100,"Medium",CallData[[#This Row],[Purchase Amount]]&lt;=150,"High",CallData[[#This Row],[Purchase Amount]]&gt;150,"Very High")</f>
        <v>High</v>
      </c>
      <c r="I592" s="23">
        <v>3.1</v>
      </c>
      <c r="J592" s="23">
        <f>IF(MONTH('Call Data'!$F592)&lt;=6, YEAR('Call Data'!$F592), YEAR('Call Data'!$F592)+1)</f>
        <v>2024</v>
      </c>
      <c r="K592" s="23" t="str">
        <f>TEXT('Call Data'!$F592,"DDDD")</f>
        <v>Saturday</v>
      </c>
      <c r="L592" s="23" t="s">
        <v>25</v>
      </c>
      <c r="M592" s="23">
        <f>ROUND('Call Data'!$I592,0)</f>
        <v>3</v>
      </c>
    </row>
    <row r="593" spans="1:13" ht="14.25" customHeight="1" x14ac:dyDescent="0.35">
      <c r="A593" s="23" t="s">
        <v>627</v>
      </c>
      <c r="B593" s="23" t="s">
        <v>50</v>
      </c>
      <c r="C593" s="23">
        <v>128</v>
      </c>
      <c r="D593" s="24" t="str" cm="1">
        <f t="array" ref="D593">_xlfn.IFS(CallData[[#This Row],[Duration]]&lt;=15,"Very short",CallData[[#This Row],[Duration]]&lt;=30,"Short",CallData[[#This Row],[Duration]]&lt;=60,"Medium",CallData[[#This Row],[Duration]]&gt;60,"Long")</f>
        <v>Long</v>
      </c>
      <c r="E593" s="24" t="s">
        <v>19</v>
      </c>
      <c r="F593" s="25">
        <v>45108</v>
      </c>
      <c r="G593" s="26">
        <v>140</v>
      </c>
      <c r="H593" s="26" t="str" cm="1">
        <f t="array" ref="H593">_xlfn.IFS(CallData[[#This Row],[Purchase Amount]]&lt;=50,"Low",CallData[[#This Row],[Purchase Amount]]&lt;=100,"Medium",CallData[[#This Row],[Purchase Amount]]&lt;=150,"High",CallData[[#This Row],[Purchase Amount]]&gt;150,"Very High")</f>
        <v>High</v>
      </c>
      <c r="I593" s="23">
        <v>4.3</v>
      </c>
      <c r="J593" s="23">
        <f>IF(MONTH('Call Data'!$F593)&lt;=6, YEAR('Call Data'!$F593), YEAR('Call Data'!$F593)+1)</f>
        <v>2024</v>
      </c>
      <c r="K593" s="23" t="str">
        <f>TEXT('Call Data'!$F593,"DDDD")</f>
        <v>Saturday</v>
      </c>
      <c r="L593" s="23" t="s">
        <v>25</v>
      </c>
      <c r="M593" s="23">
        <f>ROUND('Call Data'!$I593,0)</f>
        <v>4</v>
      </c>
    </row>
    <row r="594" spans="1:13" ht="14.25" customHeight="1" x14ac:dyDescent="0.35">
      <c r="A594" s="23" t="s">
        <v>628</v>
      </c>
      <c r="B594" s="23" t="s">
        <v>38</v>
      </c>
      <c r="C594" s="23">
        <v>110</v>
      </c>
      <c r="D594" s="24" t="str" cm="1">
        <f t="array" ref="D594">_xlfn.IFS(CallData[[#This Row],[Duration]]&lt;=15,"Very short",CallData[[#This Row],[Duration]]&lt;=30,"Short",CallData[[#This Row],[Duration]]&lt;=60,"Medium",CallData[[#This Row],[Duration]]&gt;60,"Long")</f>
        <v>Long</v>
      </c>
      <c r="E594" s="24" t="s">
        <v>19</v>
      </c>
      <c r="F594" s="25">
        <v>45109</v>
      </c>
      <c r="G594" s="26">
        <v>104</v>
      </c>
      <c r="H594" s="26" t="str" cm="1">
        <f t="array" ref="H594">_xlfn.IFS(CallData[[#This Row],[Purchase Amount]]&lt;=50,"Low",CallData[[#This Row],[Purchase Amount]]&lt;=100,"Medium",CallData[[#This Row],[Purchase Amount]]&lt;=150,"High",CallData[[#This Row],[Purchase Amount]]&gt;150,"Very High")</f>
        <v>High</v>
      </c>
      <c r="I594" s="23">
        <v>4.4000000000000004</v>
      </c>
      <c r="J594" s="23">
        <f>IF(MONTH('Call Data'!$F594)&lt;=6, YEAR('Call Data'!$F594), YEAR('Call Data'!$F594)+1)</f>
        <v>2024</v>
      </c>
      <c r="K594" s="23" t="str">
        <f>TEXT('Call Data'!$F594,"DDDD")</f>
        <v>Sunday</v>
      </c>
      <c r="L594" s="23" t="s">
        <v>14</v>
      </c>
      <c r="M594" s="23">
        <f>ROUND('Call Data'!$I594,0)</f>
        <v>4</v>
      </c>
    </row>
    <row r="595" spans="1:13" ht="14.25" customHeight="1" x14ac:dyDescent="0.35">
      <c r="A595" s="23" t="s">
        <v>629</v>
      </c>
      <c r="B595" s="23" t="s">
        <v>50</v>
      </c>
      <c r="C595" s="23">
        <v>139</v>
      </c>
      <c r="D595" s="24" t="str" cm="1">
        <f t="array" ref="D595">_xlfn.IFS(CallData[[#This Row],[Duration]]&lt;=15,"Very short",CallData[[#This Row],[Duration]]&lt;=30,"Short",CallData[[#This Row],[Duration]]&lt;=60,"Medium",CallData[[#This Row],[Duration]]&gt;60,"Long")</f>
        <v>Long</v>
      </c>
      <c r="E595" s="24" t="s">
        <v>31</v>
      </c>
      <c r="F595" s="25">
        <v>45109</v>
      </c>
      <c r="G595" s="26">
        <v>81</v>
      </c>
      <c r="H595" s="26" t="str" cm="1">
        <f t="array" ref="H595">_xlfn.IFS(CallData[[#This Row],[Purchase Amount]]&lt;=50,"Low",CallData[[#This Row],[Purchase Amount]]&lt;=100,"Medium",CallData[[#This Row],[Purchase Amount]]&lt;=150,"High",CallData[[#This Row],[Purchase Amount]]&gt;150,"Very High")</f>
        <v>Medium</v>
      </c>
      <c r="I595" s="23">
        <v>4.4000000000000004</v>
      </c>
      <c r="J595" s="23">
        <f>IF(MONTH('Call Data'!$F595)&lt;=6, YEAR('Call Data'!$F595), YEAR('Call Data'!$F595)+1)</f>
        <v>2024</v>
      </c>
      <c r="K595" s="23" t="str">
        <f>TEXT('Call Data'!$F595,"DDDD")</f>
        <v>Sunday</v>
      </c>
      <c r="L595" s="23" t="s">
        <v>25</v>
      </c>
      <c r="M595" s="23">
        <f>ROUND('Call Data'!$I595,0)</f>
        <v>4</v>
      </c>
    </row>
    <row r="596" spans="1:13" ht="14.25" customHeight="1" x14ac:dyDescent="0.35">
      <c r="A596" s="23" t="s">
        <v>630</v>
      </c>
      <c r="B596" s="23" t="s">
        <v>34</v>
      </c>
      <c r="C596" s="23">
        <v>109</v>
      </c>
      <c r="D596" s="24" t="str" cm="1">
        <f t="array" ref="D596">_xlfn.IFS(CallData[[#This Row],[Duration]]&lt;=15,"Very short",CallData[[#This Row],[Duration]]&lt;=30,"Short",CallData[[#This Row],[Duration]]&lt;=60,"Medium",CallData[[#This Row],[Duration]]&gt;60,"Long")</f>
        <v>Long</v>
      </c>
      <c r="E596" s="24" t="s">
        <v>35</v>
      </c>
      <c r="F596" s="25">
        <v>45111</v>
      </c>
      <c r="G596" s="26">
        <v>140</v>
      </c>
      <c r="H596" s="26" t="str" cm="1">
        <f t="array" ref="H596">_xlfn.IFS(CallData[[#This Row],[Purchase Amount]]&lt;=50,"Low",CallData[[#This Row],[Purchase Amount]]&lt;=100,"Medium",CallData[[#This Row],[Purchase Amount]]&lt;=150,"High",CallData[[#This Row],[Purchase Amount]]&gt;150,"Very High")</f>
        <v>High</v>
      </c>
      <c r="I596" s="23">
        <v>2.4</v>
      </c>
      <c r="J596" s="23">
        <f>IF(MONTH('Call Data'!$F596)&lt;=6, YEAR('Call Data'!$F596), YEAR('Call Data'!$F596)+1)</f>
        <v>2024</v>
      </c>
      <c r="K596" s="23" t="str">
        <f>TEXT('Call Data'!$F596,"DDDD")</f>
        <v>Tuesday</v>
      </c>
      <c r="L596" s="23" t="s">
        <v>14</v>
      </c>
      <c r="M596" s="23">
        <f>ROUND('Call Data'!$I596,0)</f>
        <v>2</v>
      </c>
    </row>
    <row r="597" spans="1:13" ht="14.25" customHeight="1" x14ac:dyDescent="0.35">
      <c r="A597" s="23" t="s">
        <v>631</v>
      </c>
      <c r="B597" s="23" t="s">
        <v>16</v>
      </c>
      <c r="C597" s="23">
        <v>57</v>
      </c>
      <c r="D597" s="24" t="str" cm="1">
        <f t="array" ref="D597">_xlfn.IFS(CallData[[#This Row],[Duration]]&lt;=15,"Very short",CallData[[#This Row],[Duration]]&lt;=30,"Short",CallData[[#This Row],[Duration]]&lt;=60,"Medium",CallData[[#This Row],[Duration]]&gt;60,"Long")</f>
        <v>Medium</v>
      </c>
      <c r="E597" s="24" t="s">
        <v>13</v>
      </c>
      <c r="F597" s="25">
        <v>45112</v>
      </c>
      <c r="G597" s="26">
        <v>120</v>
      </c>
      <c r="H597" s="26" t="str" cm="1">
        <f t="array" ref="H597">_xlfn.IFS(CallData[[#This Row],[Purchase Amount]]&lt;=50,"Low",CallData[[#This Row],[Purchase Amount]]&lt;=100,"Medium",CallData[[#This Row],[Purchase Amount]]&lt;=150,"High",CallData[[#This Row],[Purchase Amount]]&gt;150,"Very High")</f>
        <v>High</v>
      </c>
      <c r="I597" s="23">
        <v>3.5</v>
      </c>
      <c r="J597" s="23">
        <f>IF(MONTH('Call Data'!$F597)&lt;=6, YEAR('Call Data'!$F597), YEAR('Call Data'!$F597)+1)</f>
        <v>2024</v>
      </c>
      <c r="K597" s="23" t="str">
        <f>TEXT('Call Data'!$F597,"DDDD")</f>
        <v>Wednesday</v>
      </c>
      <c r="L597" s="23" t="s">
        <v>27</v>
      </c>
      <c r="M597" s="23">
        <f>ROUND('Call Data'!$I597,0)</f>
        <v>4</v>
      </c>
    </row>
    <row r="598" spans="1:13" ht="14.25" customHeight="1" x14ac:dyDescent="0.35">
      <c r="A598" s="23" t="s">
        <v>632</v>
      </c>
      <c r="B598" s="23" t="s">
        <v>34</v>
      </c>
      <c r="C598" s="23">
        <v>68</v>
      </c>
      <c r="D598" s="24" t="str" cm="1">
        <f t="array" ref="D598">_xlfn.IFS(CallData[[#This Row],[Duration]]&lt;=15,"Very short",CallData[[#This Row],[Duration]]&lt;=30,"Short",CallData[[#This Row],[Duration]]&lt;=60,"Medium",CallData[[#This Row],[Duration]]&gt;60,"Long")</f>
        <v>Long</v>
      </c>
      <c r="E598" s="24" t="s">
        <v>31</v>
      </c>
      <c r="F598" s="25">
        <v>45112</v>
      </c>
      <c r="G598" s="26">
        <v>41</v>
      </c>
      <c r="H598" s="26" t="str" cm="1">
        <f t="array" ref="H598">_xlfn.IFS(CallData[[#This Row],[Purchase Amount]]&lt;=50,"Low",CallData[[#This Row],[Purchase Amount]]&lt;=100,"Medium",CallData[[#This Row],[Purchase Amount]]&lt;=150,"High",CallData[[#This Row],[Purchase Amount]]&gt;150,"Very High")</f>
        <v>Low</v>
      </c>
      <c r="I598" s="23">
        <v>3.1</v>
      </c>
      <c r="J598" s="23">
        <f>IF(MONTH('Call Data'!$F598)&lt;=6, YEAR('Call Data'!$F598), YEAR('Call Data'!$F598)+1)</f>
        <v>2024</v>
      </c>
      <c r="K598" s="23" t="str">
        <f>TEXT('Call Data'!$F598,"DDDD")</f>
        <v>Wednesday</v>
      </c>
      <c r="L598" s="23" t="s">
        <v>14</v>
      </c>
      <c r="M598" s="23">
        <f>ROUND('Call Data'!$I598,0)</f>
        <v>3</v>
      </c>
    </row>
    <row r="599" spans="1:13" ht="14.25" customHeight="1" x14ac:dyDescent="0.35">
      <c r="A599" s="23" t="s">
        <v>633</v>
      </c>
      <c r="B599" s="23" t="s">
        <v>23</v>
      </c>
      <c r="C599" s="23">
        <v>128</v>
      </c>
      <c r="D599" s="24" t="str" cm="1">
        <f t="array" ref="D599">_xlfn.IFS(CallData[[#This Row],[Duration]]&lt;=15,"Very short",CallData[[#This Row],[Duration]]&lt;=30,"Short",CallData[[#This Row],[Duration]]&lt;=60,"Medium",CallData[[#This Row],[Duration]]&gt;60,"Long")</f>
        <v>Long</v>
      </c>
      <c r="E599" s="24" t="s">
        <v>31</v>
      </c>
      <c r="F599" s="25">
        <v>45112</v>
      </c>
      <c r="G599" s="26">
        <v>116</v>
      </c>
      <c r="H599" s="26" t="str" cm="1">
        <f t="array" ref="H599">_xlfn.IFS(CallData[[#This Row],[Purchase Amount]]&lt;=50,"Low",CallData[[#This Row],[Purchase Amount]]&lt;=100,"Medium",CallData[[#This Row],[Purchase Amount]]&lt;=150,"High",CallData[[#This Row],[Purchase Amount]]&gt;150,"Very High")</f>
        <v>High</v>
      </c>
      <c r="I599" s="23">
        <v>2.2999999999999998</v>
      </c>
      <c r="J599" s="23">
        <f>IF(MONTH('Call Data'!$F599)&lt;=6, YEAR('Call Data'!$F599), YEAR('Call Data'!$F599)+1)</f>
        <v>2024</v>
      </c>
      <c r="K599" s="23" t="str">
        <f>TEXT('Call Data'!$F599,"DDDD")</f>
        <v>Wednesday</v>
      </c>
      <c r="L599" s="23" t="s">
        <v>25</v>
      </c>
      <c r="M599" s="23">
        <f>ROUND('Call Data'!$I599,0)</f>
        <v>2</v>
      </c>
    </row>
    <row r="600" spans="1:13" ht="14.25" customHeight="1" x14ac:dyDescent="0.35">
      <c r="A600" s="23" t="s">
        <v>634</v>
      </c>
      <c r="B600" s="23" t="s">
        <v>12</v>
      </c>
      <c r="C600" s="23">
        <v>102</v>
      </c>
      <c r="D600" s="24" t="str" cm="1">
        <f t="array" ref="D600">_xlfn.IFS(CallData[[#This Row],[Duration]]&lt;=15,"Very short",CallData[[#This Row],[Duration]]&lt;=30,"Short",CallData[[#This Row],[Duration]]&lt;=60,"Medium",CallData[[#This Row],[Duration]]&gt;60,"Long")</f>
        <v>Long</v>
      </c>
      <c r="E600" s="24" t="s">
        <v>13</v>
      </c>
      <c r="F600" s="25">
        <v>45113</v>
      </c>
      <c r="G600" s="26">
        <v>70</v>
      </c>
      <c r="H600" s="26" t="str" cm="1">
        <f t="array" ref="H600">_xlfn.IFS(CallData[[#This Row],[Purchase Amount]]&lt;=50,"Low",CallData[[#This Row],[Purchase Amount]]&lt;=100,"Medium",CallData[[#This Row],[Purchase Amount]]&lt;=150,"High",CallData[[#This Row],[Purchase Amount]]&gt;150,"Very High")</f>
        <v>Medium</v>
      </c>
      <c r="I600" s="23">
        <v>2.8</v>
      </c>
      <c r="J600" s="23">
        <f>IF(MONTH('Call Data'!$F600)&lt;=6, YEAR('Call Data'!$F600), YEAR('Call Data'!$F600)+1)</f>
        <v>2024</v>
      </c>
      <c r="K600" s="23" t="str">
        <f>TEXT('Call Data'!$F600,"DDDD")</f>
        <v>Thursday</v>
      </c>
      <c r="L600" s="23" t="s">
        <v>14</v>
      </c>
      <c r="M600" s="23">
        <f>ROUND('Call Data'!$I600,0)</f>
        <v>3</v>
      </c>
    </row>
    <row r="601" spans="1:13" ht="14.25" customHeight="1" x14ac:dyDescent="0.35">
      <c r="A601" s="23" t="s">
        <v>635</v>
      </c>
      <c r="B601" s="23" t="s">
        <v>50</v>
      </c>
      <c r="C601" s="23">
        <v>52</v>
      </c>
      <c r="D601" s="24" t="str" cm="1">
        <f t="array" ref="D601">_xlfn.IFS(CallData[[#This Row],[Duration]]&lt;=15,"Very short",CallData[[#This Row],[Duration]]&lt;=30,"Short",CallData[[#This Row],[Duration]]&lt;=60,"Medium",CallData[[#This Row],[Duration]]&gt;60,"Long")</f>
        <v>Medium</v>
      </c>
      <c r="E601" s="24" t="s">
        <v>24</v>
      </c>
      <c r="F601" s="25">
        <v>45113</v>
      </c>
      <c r="G601" s="26">
        <v>42</v>
      </c>
      <c r="H601" s="26" t="str" cm="1">
        <f t="array" ref="H601">_xlfn.IFS(CallData[[#This Row],[Purchase Amount]]&lt;=50,"Low",CallData[[#This Row],[Purchase Amount]]&lt;=100,"Medium",CallData[[#This Row],[Purchase Amount]]&lt;=150,"High",CallData[[#This Row],[Purchase Amount]]&gt;150,"Very High")</f>
        <v>Low</v>
      </c>
      <c r="I601" s="23">
        <v>4.5</v>
      </c>
      <c r="J601" s="23">
        <f>IF(MONTH('Call Data'!$F601)&lt;=6, YEAR('Call Data'!$F601), YEAR('Call Data'!$F601)+1)</f>
        <v>2024</v>
      </c>
      <c r="K601" s="23" t="str">
        <f>TEXT('Call Data'!$F601,"DDDD")</f>
        <v>Thursday</v>
      </c>
      <c r="L601" s="23" t="s">
        <v>27</v>
      </c>
      <c r="M601" s="23">
        <f>ROUND('Call Data'!$I601,0)</f>
        <v>5</v>
      </c>
    </row>
    <row r="602" spans="1:13" ht="14.25" customHeight="1" x14ac:dyDescent="0.35">
      <c r="A602" s="23" t="s">
        <v>636</v>
      </c>
      <c r="B602" s="23" t="s">
        <v>23</v>
      </c>
      <c r="C602" s="23">
        <v>55</v>
      </c>
      <c r="D602" s="24" t="str" cm="1">
        <f t="array" ref="D602">_xlfn.IFS(CallData[[#This Row],[Duration]]&lt;=15,"Very short",CallData[[#This Row],[Duration]]&lt;=30,"Short",CallData[[#This Row],[Duration]]&lt;=60,"Medium",CallData[[#This Row],[Duration]]&gt;60,"Long")</f>
        <v>Medium</v>
      </c>
      <c r="E602" s="24" t="s">
        <v>19</v>
      </c>
      <c r="F602" s="25">
        <v>45114</v>
      </c>
      <c r="G602" s="26">
        <v>112</v>
      </c>
      <c r="H602" s="26" t="str" cm="1">
        <f t="array" ref="H602">_xlfn.IFS(CallData[[#This Row],[Purchase Amount]]&lt;=50,"Low",CallData[[#This Row],[Purchase Amount]]&lt;=100,"Medium",CallData[[#This Row],[Purchase Amount]]&lt;=150,"High",CallData[[#This Row],[Purchase Amount]]&gt;150,"Very High")</f>
        <v>High</v>
      </c>
      <c r="I602" s="23">
        <v>4.5</v>
      </c>
      <c r="J602" s="23">
        <f>IF(MONTH('Call Data'!$F602)&lt;=6, YEAR('Call Data'!$F602), YEAR('Call Data'!$F602)+1)</f>
        <v>2024</v>
      </c>
      <c r="K602" s="23" t="str">
        <f>TEXT('Call Data'!$F602,"DDDD")</f>
        <v>Friday</v>
      </c>
      <c r="L602" s="23" t="s">
        <v>27</v>
      </c>
      <c r="M602" s="23">
        <f>ROUND('Call Data'!$I602,0)</f>
        <v>5</v>
      </c>
    </row>
    <row r="603" spans="1:13" ht="14.25" customHeight="1" x14ac:dyDescent="0.35">
      <c r="A603" s="23" t="s">
        <v>637</v>
      </c>
      <c r="B603" s="23" t="s">
        <v>21</v>
      </c>
      <c r="C603" s="23">
        <v>107</v>
      </c>
      <c r="D603" s="24" t="str" cm="1">
        <f t="array" ref="D603">_xlfn.IFS(CallData[[#This Row],[Duration]]&lt;=15,"Very short",CallData[[#This Row],[Duration]]&lt;=30,"Short",CallData[[#This Row],[Duration]]&lt;=60,"Medium",CallData[[#This Row],[Duration]]&gt;60,"Long")</f>
        <v>Long</v>
      </c>
      <c r="E603" s="24" t="s">
        <v>31</v>
      </c>
      <c r="F603" s="25">
        <v>45114</v>
      </c>
      <c r="G603" s="26">
        <v>20</v>
      </c>
      <c r="H603" s="26" t="str" cm="1">
        <f t="array" ref="H603">_xlfn.IFS(CallData[[#This Row],[Purchase Amount]]&lt;=50,"Low",CallData[[#This Row],[Purchase Amount]]&lt;=100,"Medium",CallData[[#This Row],[Purchase Amount]]&lt;=150,"High",CallData[[#This Row],[Purchase Amount]]&gt;150,"Very High")</f>
        <v>Low</v>
      </c>
      <c r="I603" s="23">
        <v>4.5</v>
      </c>
      <c r="J603" s="23">
        <f>IF(MONTH('Call Data'!$F603)&lt;=6, YEAR('Call Data'!$F603), YEAR('Call Data'!$F603)+1)</f>
        <v>2024</v>
      </c>
      <c r="K603" s="23" t="str">
        <f>TEXT('Call Data'!$F603,"DDDD")</f>
        <v>Friday</v>
      </c>
      <c r="L603" s="23" t="s">
        <v>14</v>
      </c>
      <c r="M603" s="23">
        <f>ROUND('Call Data'!$I603,0)</f>
        <v>5</v>
      </c>
    </row>
    <row r="604" spans="1:13" ht="14.25" customHeight="1" x14ac:dyDescent="0.35">
      <c r="A604" s="23" t="s">
        <v>638</v>
      </c>
      <c r="B604" s="23" t="s">
        <v>40</v>
      </c>
      <c r="C604" s="23">
        <v>88</v>
      </c>
      <c r="D604" s="24" t="str" cm="1">
        <f t="array" ref="D604">_xlfn.IFS(CallData[[#This Row],[Duration]]&lt;=15,"Very short",CallData[[#This Row],[Duration]]&lt;=30,"Short",CallData[[#This Row],[Duration]]&lt;=60,"Medium",CallData[[#This Row],[Duration]]&gt;60,"Long")</f>
        <v>Long</v>
      </c>
      <c r="E604" s="24" t="s">
        <v>24</v>
      </c>
      <c r="F604" s="25">
        <v>45115</v>
      </c>
      <c r="G604" s="26">
        <v>110</v>
      </c>
      <c r="H604" s="26" t="str" cm="1">
        <f t="array" ref="H604">_xlfn.IFS(CallData[[#This Row],[Purchase Amount]]&lt;=50,"Low",CallData[[#This Row],[Purchase Amount]]&lt;=100,"Medium",CallData[[#This Row],[Purchase Amount]]&lt;=150,"High",CallData[[#This Row],[Purchase Amount]]&gt;150,"Very High")</f>
        <v>High</v>
      </c>
      <c r="I604" s="23">
        <v>4.8</v>
      </c>
      <c r="J604" s="23">
        <f>IF(MONTH('Call Data'!$F604)&lt;=6, YEAR('Call Data'!$F604), YEAR('Call Data'!$F604)+1)</f>
        <v>2024</v>
      </c>
      <c r="K604" s="23" t="str">
        <f>TEXT('Call Data'!$F604,"DDDD")</f>
        <v>Saturday</v>
      </c>
      <c r="L604" s="23" t="s">
        <v>14</v>
      </c>
      <c r="M604" s="23">
        <f>ROUND('Call Data'!$I604,0)</f>
        <v>5</v>
      </c>
    </row>
    <row r="605" spans="1:13" ht="14.25" customHeight="1" x14ac:dyDescent="0.35">
      <c r="A605" s="23" t="s">
        <v>639</v>
      </c>
      <c r="B605" s="23" t="s">
        <v>29</v>
      </c>
      <c r="C605" s="23">
        <v>49</v>
      </c>
      <c r="D605" s="24" t="str" cm="1">
        <f t="array" ref="D605">_xlfn.IFS(CallData[[#This Row],[Duration]]&lt;=15,"Very short",CallData[[#This Row],[Duration]]&lt;=30,"Short",CallData[[#This Row],[Duration]]&lt;=60,"Medium",CallData[[#This Row],[Duration]]&gt;60,"Long")</f>
        <v>Medium</v>
      </c>
      <c r="E605" s="24" t="s">
        <v>24</v>
      </c>
      <c r="F605" s="25">
        <v>45115</v>
      </c>
      <c r="G605" s="26">
        <v>39</v>
      </c>
      <c r="H605" s="26" t="str" cm="1">
        <f t="array" ref="H605">_xlfn.IFS(CallData[[#This Row],[Purchase Amount]]&lt;=50,"Low",CallData[[#This Row],[Purchase Amount]]&lt;=100,"Medium",CallData[[#This Row],[Purchase Amount]]&lt;=150,"High",CallData[[#This Row],[Purchase Amount]]&gt;150,"Very High")</f>
        <v>Low</v>
      </c>
      <c r="I605" s="23">
        <v>4.5999999999999996</v>
      </c>
      <c r="J605" s="23">
        <f>IF(MONTH('Call Data'!$F605)&lt;=6, YEAR('Call Data'!$F605), YEAR('Call Data'!$F605)+1)</f>
        <v>2024</v>
      </c>
      <c r="K605" s="23" t="str">
        <f>TEXT('Call Data'!$F605,"DDDD")</f>
        <v>Saturday</v>
      </c>
      <c r="L605" s="23" t="s">
        <v>27</v>
      </c>
      <c r="M605" s="23">
        <f>ROUND('Call Data'!$I605,0)</f>
        <v>5</v>
      </c>
    </row>
    <row r="606" spans="1:13" ht="14.25" customHeight="1" x14ac:dyDescent="0.35">
      <c r="A606" s="23" t="s">
        <v>640</v>
      </c>
      <c r="B606" s="23" t="s">
        <v>40</v>
      </c>
      <c r="C606" s="23">
        <v>72</v>
      </c>
      <c r="D606" s="24" t="str" cm="1">
        <f t="array" ref="D606">_xlfn.IFS(CallData[[#This Row],[Duration]]&lt;=15,"Very short",CallData[[#This Row],[Duration]]&lt;=30,"Short",CallData[[#This Row],[Duration]]&lt;=60,"Medium",CallData[[#This Row],[Duration]]&gt;60,"Long")</f>
        <v>Long</v>
      </c>
      <c r="E606" s="24" t="s">
        <v>13</v>
      </c>
      <c r="F606" s="25">
        <v>45115</v>
      </c>
      <c r="G606" s="26">
        <v>76</v>
      </c>
      <c r="H606" s="26" t="str" cm="1">
        <f t="array" ref="H606">_xlfn.IFS(CallData[[#This Row],[Purchase Amount]]&lt;=50,"Low",CallData[[#This Row],[Purchase Amount]]&lt;=100,"Medium",CallData[[#This Row],[Purchase Amount]]&lt;=150,"High",CallData[[#This Row],[Purchase Amount]]&gt;150,"Very High")</f>
        <v>Medium</v>
      </c>
      <c r="I606" s="23">
        <v>4.5</v>
      </c>
      <c r="J606" s="23">
        <f>IF(MONTH('Call Data'!$F606)&lt;=6, YEAR('Call Data'!$F606), YEAR('Call Data'!$F606)+1)</f>
        <v>2024</v>
      </c>
      <c r="K606" s="23" t="str">
        <f>TEXT('Call Data'!$F606,"DDDD")</f>
        <v>Saturday</v>
      </c>
      <c r="L606" s="23" t="s">
        <v>14</v>
      </c>
      <c r="M606" s="23">
        <f>ROUND('Call Data'!$I606,0)</f>
        <v>5</v>
      </c>
    </row>
    <row r="607" spans="1:13" ht="14.25" customHeight="1" x14ac:dyDescent="0.35">
      <c r="A607" s="23" t="s">
        <v>641</v>
      </c>
      <c r="B607" s="23" t="s">
        <v>16</v>
      </c>
      <c r="C607" s="23">
        <v>50</v>
      </c>
      <c r="D607" s="24" t="str" cm="1">
        <f t="array" ref="D607">_xlfn.IFS(CallData[[#This Row],[Duration]]&lt;=15,"Very short",CallData[[#This Row],[Duration]]&lt;=30,"Short",CallData[[#This Row],[Duration]]&lt;=60,"Medium",CallData[[#This Row],[Duration]]&gt;60,"Long")</f>
        <v>Medium</v>
      </c>
      <c r="E607" s="24" t="s">
        <v>13</v>
      </c>
      <c r="F607" s="25">
        <v>45115</v>
      </c>
      <c r="G607" s="26">
        <v>40</v>
      </c>
      <c r="H607" s="26" t="str" cm="1">
        <f t="array" ref="H607">_xlfn.IFS(CallData[[#This Row],[Purchase Amount]]&lt;=50,"Low",CallData[[#This Row],[Purchase Amount]]&lt;=100,"Medium",CallData[[#This Row],[Purchase Amount]]&lt;=150,"High",CallData[[#This Row],[Purchase Amount]]&gt;150,"Very High")</f>
        <v>Low</v>
      </c>
      <c r="I607" s="23">
        <v>5</v>
      </c>
      <c r="J607" s="23">
        <f>IF(MONTH('Call Data'!$F607)&lt;=6, YEAR('Call Data'!$F607), YEAR('Call Data'!$F607)+1)</f>
        <v>2024</v>
      </c>
      <c r="K607" s="23" t="str">
        <f>TEXT('Call Data'!$F607,"DDDD")</f>
        <v>Saturday</v>
      </c>
      <c r="L607" s="23" t="s">
        <v>27</v>
      </c>
      <c r="M607" s="23">
        <f>ROUND('Call Data'!$I607,0)</f>
        <v>5</v>
      </c>
    </row>
    <row r="608" spans="1:13" ht="14.25" customHeight="1" x14ac:dyDescent="0.35">
      <c r="A608" s="23" t="s">
        <v>642</v>
      </c>
      <c r="B608" s="23" t="s">
        <v>40</v>
      </c>
      <c r="C608" s="23">
        <v>52</v>
      </c>
      <c r="D608" s="24" t="str" cm="1">
        <f t="array" ref="D608">_xlfn.IFS(CallData[[#This Row],[Duration]]&lt;=15,"Very short",CallData[[#This Row],[Duration]]&lt;=30,"Short",CallData[[#This Row],[Duration]]&lt;=60,"Medium",CallData[[#This Row],[Duration]]&gt;60,"Long")</f>
        <v>Medium</v>
      </c>
      <c r="E608" s="24" t="s">
        <v>31</v>
      </c>
      <c r="F608" s="25">
        <v>45115</v>
      </c>
      <c r="G608" s="26">
        <v>42</v>
      </c>
      <c r="H608" s="26" t="str" cm="1">
        <f t="array" ref="H608">_xlfn.IFS(CallData[[#This Row],[Purchase Amount]]&lt;=50,"Low",CallData[[#This Row],[Purchase Amount]]&lt;=100,"Medium",CallData[[#This Row],[Purchase Amount]]&lt;=150,"High",CallData[[#This Row],[Purchase Amount]]&gt;150,"Very High")</f>
        <v>Low</v>
      </c>
      <c r="I608" s="23">
        <v>4.8</v>
      </c>
      <c r="J608" s="23">
        <f>IF(MONTH('Call Data'!$F608)&lt;=6, YEAR('Call Data'!$F608), YEAR('Call Data'!$F608)+1)</f>
        <v>2024</v>
      </c>
      <c r="K608" s="23" t="str">
        <f>TEXT('Call Data'!$F608,"DDDD")</f>
        <v>Saturday</v>
      </c>
      <c r="L608" s="23" t="s">
        <v>27</v>
      </c>
      <c r="M608" s="23">
        <f>ROUND('Call Data'!$I608,0)</f>
        <v>5</v>
      </c>
    </row>
    <row r="609" spans="1:13" ht="14.25" customHeight="1" x14ac:dyDescent="0.35">
      <c r="A609" s="23" t="s">
        <v>643</v>
      </c>
      <c r="B609" s="23" t="s">
        <v>18</v>
      </c>
      <c r="C609" s="23">
        <v>85</v>
      </c>
      <c r="D609" s="24" t="str" cm="1">
        <f t="array" ref="D609">_xlfn.IFS(CallData[[#This Row],[Duration]]&lt;=15,"Very short",CallData[[#This Row],[Duration]]&lt;=30,"Short",CallData[[#This Row],[Duration]]&lt;=60,"Medium",CallData[[#This Row],[Duration]]&gt;60,"Long")</f>
        <v>Long</v>
      </c>
      <c r="E609" s="24" t="s">
        <v>35</v>
      </c>
      <c r="F609" s="25">
        <v>45116</v>
      </c>
      <c r="G609" s="26">
        <v>215</v>
      </c>
      <c r="H609" s="26" t="str" cm="1">
        <f t="array" ref="H609">_xlfn.IFS(CallData[[#This Row],[Purchase Amount]]&lt;=50,"Low",CallData[[#This Row],[Purchase Amount]]&lt;=100,"Medium",CallData[[#This Row],[Purchase Amount]]&lt;=150,"High",CallData[[#This Row],[Purchase Amount]]&gt;150,"Very High")</f>
        <v>Very High</v>
      </c>
      <c r="I609" s="23">
        <v>3.5</v>
      </c>
      <c r="J609" s="23">
        <f>IF(MONTH('Call Data'!$F609)&lt;=6, YEAR('Call Data'!$F609), YEAR('Call Data'!$F609)+1)</f>
        <v>2024</v>
      </c>
      <c r="K609" s="23" t="str">
        <f>TEXT('Call Data'!$F609,"DDDD")</f>
        <v>Sunday</v>
      </c>
      <c r="L609" s="23" t="s">
        <v>14</v>
      </c>
      <c r="M609" s="23">
        <f>ROUND('Call Data'!$I609,0)</f>
        <v>4</v>
      </c>
    </row>
    <row r="610" spans="1:13" ht="14.25" customHeight="1" x14ac:dyDescent="0.35">
      <c r="A610" s="23" t="s">
        <v>644</v>
      </c>
      <c r="B610" s="23" t="s">
        <v>46</v>
      </c>
      <c r="C610" s="23">
        <v>98</v>
      </c>
      <c r="D610" s="24" t="str" cm="1">
        <f t="array" ref="D610">_xlfn.IFS(CallData[[#This Row],[Duration]]&lt;=15,"Very short",CallData[[#This Row],[Duration]]&lt;=30,"Short",CallData[[#This Row],[Duration]]&lt;=60,"Medium",CallData[[#This Row],[Duration]]&gt;60,"Long")</f>
        <v>Long</v>
      </c>
      <c r="E610" s="24" t="s">
        <v>35</v>
      </c>
      <c r="F610" s="25">
        <v>45117</v>
      </c>
      <c r="G610" s="26">
        <v>130</v>
      </c>
      <c r="H610" s="26" t="str" cm="1">
        <f t="array" ref="H610">_xlfn.IFS(CallData[[#This Row],[Purchase Amount]]&lt;=50,"Low",CallData[[#This Row],[Purchase Amount]]&lt;=100,"Medium",CallData[[#This Row],[Purchase Amount]]&lt;=150,"High",CallData[[#This Row],[Purchase Amount]]&gt;150,"Very High")</f>
        <v>High</v>
      </c>
      <c r="I610" s="23">
        <v>3.4</v>
      </c>
      <c r="J610" s="23">
        <f>IF(MONTH('Call Data'!$F610)&lt;=6, YEAR('Call Data'!$F610), YEAR('Call Data'!$F610)+1)</f>
        <v>2024</v>
      </c>
      <c r="K610" s="23" t="str">
        <f>TEXT('Call Data'!$F610,"DDDD")</f>
        <v>Monday</v>
      </c>
      <c r="L610" s="23" t="s">
        <v>14</v>
      </c>
      <c r="M610" s="23">
        <f>ROUND('Call Data'!$I610,0)</f>
        <v>3</v>
      </c>
    </row>
    <row r="611" spans="1:13" ht="14.25" customHeight="1" x14ac:dyDescent="0.35">
      <c r="A611" s="23" t="s">
        <v>645</v>
      </c>
      <c r="B611" s="23" t="s">
        <v>55</v>
      </c>
      <c r="C611" s="23">
        <v>52</v>
      </c>
      <c r="D611" s="24" t="str" cm="1">
        <f t="array" ref="D611">_xlfn.IFS(CallData[[#This Row],[Duration]]&lt;=15,"Very short",CallData[[#This Row],[Duration]]&lt;=30,"Short",CallData[[#This Row],[Duration]]&lt;=60,"Medium",CallData[[#This Row],[Duration]]&gt;60,"Long")</f>
        <v>Medium</v>
      </c>
      <c r="E611" s="24" t="s">
        <v>35</v>
      </c>
      <c r="F611" s="25">
        <v>45117</v>
      </c>
      <c r="G611" s="26">
        <v>190</v>
      </c>
      <c r="H611" s="26" t="str" cm="1">
        <f t="array" ref="H611">_xlfn.IFS(CallData[[#This Row],[Purchase Amount]]&lt;=50,"Low",CallData[[#This Row],[Purchase Amount]]&lt;=100,"Medium",CallData[[#This Row],[Purchase Amount]]&lt;=150,"High",CallData[[#This Row],[Purchase Amount]]&gt;150,"Very High")</f>
        <v>Very High</v>
      </c>
      <c r="I611" s="23">
        <v>3.3</v>
      </c>
      <c r="J611" s="23">
        <f>IF(MONTH('Call Data'!$F611)&lt;=6, YEAR('Call Data'!$F611), YEAR('Call Data'!$F611)+1)</f>
        <v>2024</v>
      </c>
      <c r="K611" s="23" t="str">
        <f>TEXT('Call Data'!$F611,"DDDD")</f>
        <v>Monday</v>
      </c>
      <c r="L611" s="23" t="s">
        <v>27</v>
      </c>
      <c r="M611" s="23">
        <f>ROUND('Call Data'!$I611,0)</f>
        <v>3</v>
      </c>
    </row>
    <row r="612" spans="1:13" ht="14.25" customHeight="1" x14ac:dyDescent="0.35">
      <c r="A612" s="23" t="s">
        <v>646</v>
      </c>
      <c r="B612" s="23" t="s">
        <v>23</v>
      </c>
      <c r="C612" s="23">
        <v>154</v>
      </c>
      <c r="D612" s="24" t="str" cm="1">
        <f t="array" ref="D612">_xlfn.IFS(CallData[[#This Row],[Duration]]&lt;=15,"Very short",CallData[[#This Row],[Duration]]&lt;=30,"Short",CallData[[#This Row],[Duration]]&lt;=60,"Medium",CallData[[#This Row],[Duration]]&gt;60,"Long")</f>
        <v>Long</v>
      </c>
      <c r="E612" s="24" t="s">
        <v>24</v>
      </c>
      <c r="F612" s="25">
        <v>45117</v>
      </c>
      <c r="G612" s="26">
        <v>164</v>
      </c>
      <c r="H612" s="26" t="str" cm="1">
        <f t="array" ref="H612">_xlfn.IFS(CallData[[#This Row],[Purchase Amount]]&lt;=50,"Low",CallData[[#This Row],[Purchase Amount]]&lt;=100,"Medium",CallData[[#This Row],[Purchase Amount]]&lt;=150,"High",CallData[[#This Row],[Purchase Amount]]&gt;150,"Very High")</f>
        <v>Very High</v>
      </c>
      <c r="I612" s="23">
        <v>4.9000000000000004</v>
      </c>
      <c r="J612" s="23">
        <f>IF(MONTH('Call Data'!$F612)&lt;=6, YEAR('Call Data'!$F612), YEAR('Call Data'!$F612)+1)</f>
        <v>2024</v>
      </c>
      <c r="K612" s="23" t="str">
        <f>TEXT('Call Data'!$F612,"DDDD")</f>
        <v>Monday</v>
      </c>
      <c r="L612" s="23" t="s">
        <v>25</v>
      </c>
      <c r="M612" s="23">
        <f>ROUND('Call Data'!$I612,0)</f>
        <v>5</v>
      </c>
    </row>
    <row r="613" spans="1:13" ht="14.25" customHeight="1" x14ac:dyDescent="0.35">
      <c r="A613" s="23" t="s">
        <v>647</v>
      </c>
      <c r="B613" s="23" t="s">
        <v>88</v>
      </c>
      <c r="C613" s="23">
        <v>131</v>
      </c>
      <c r="D613" s="24" t="str" cm="1">
        <f t="array" ref="D613">_xlfn.IFS(CallData[[#This Row],[Duration]]&lt;=15,"Very short",CallData[[#This Row],[Duration]]&lt;=30,"Short",CallData[[#This Row],[Duration]]&lt;=60,"Medium",CallData[[#This Row],[Duration]]&gt;60,"Long")</f>
        <v>Long</v>
      </c>
      <c r="E613" s="24" t="s">
        <v>19</v>
      </c>
      <c r="F613" s="25">
        <v>45118</v>
      </c>
      <c r="G613" s="26">
        <v>76</v>
      </c>
      <c r="H613" s="26" t="str" cm="1">
        <f t="array" ref="H613">_xlfn.IFS(CallData[[#This Row],[Purchase Amount]]&lt;=50,"Low",CallData[[#This Row],[Purchase Amount]]&lt;=100,"Medium",CallData[[#This Row],[Purchase Amount]]&lt;=150,"High",CallData[[#This Row],[Purchase Amount]]&gt;150,"Very High")</f>
        <v>Medium</v>
      </c>
      <c r="I613" s="23">
        <v>4.5</v>
      </c>
      <c r="J613" s="23">
        <f>IF(MONTH('Call Data'!$F613)&lt;=6, YEAR('Call Data'!$F613), YEAR('Call Data'!$F613)+1)</f>
        <v>2024</v>
      </c>
      <c r="K613" s="23" t="str">
        <f>TEXT('Call Data'!$F613,"DDDD")</f>
        <v>Tuesday</v>
      </c>
      <c r="L613" s="23" t="s">
        <v>25</v>
      </c>
      <c r="M613" s="23">
        <f>ROUND('Call Data'!$I613,0)</f>
        <v>5</v>
      </c>
    </row>
    <row r="614" spans="1:13" ht="14.25" customHeight="1" x14ac:dyDescent="0.35">
      <c r="A614" s="23" t="s">
        <v>648</v>
      </c>
      <c r="B614" s="23" t="s">
        <v>18</v>
      </c>
      <c r="C614" s="23">
        <v>73</v>
      </c>
      <c r="D614" s="24" t="str" cm="1">
        <f t="array" ref="D614">_xlfn.IFS(CallData[[#This Row],[Duration]]&lt;=15,"Very short",CallData[[#This Row],[Duration]]&lt;=30,"Short",CallData[[#This Row],[Duration]]&lt;=60,"Medium",CallData[[#This Row],[Duration]]&gt;60,"Long")</f>
        <v>Long</v>
      </c>
      <c r="E614" s="24" t="s">
        <v>19</v>
      </c>
      <c r="F614" s="25">
        <v>45119</v>
      </c>
      <c r="G614" s="26">
        <v>87</v>
      </c>
      <c r="H614" s="26" t="str" cm="1">
        <f t="array" ref="H614">_xlfn.IFS(CallData[[#This Row],[Purchase Amount]]&lt;=50,"Low",CallData[[#This Row],[Purchase Amount]]&lt;=100,"Medium",CallData[[#This Row],[Purchase Amount]]&lt;=150,"High",CallData[[#This Row],[Purchase Amount]]&gt;150,"Very High")</f>
        <v>Medium</v>
      </c>
      <c r="I614" s="23">
        <v>4.8</v>
      </c>
      <c r="J614" s="23">
        <f>IF(MONTH('Call Data'!$F614)&lt;=6, YEAR('Call Data'!$F614), YEAR('Call Data'!$F614)+1)</f>
        <v>2024</v>
      </c>
      <c r="K614" s="23" t="str">
        <f>TEXT('Call Data'!$F614,"DDDD")</f>
        <v>Wednesday</v>
      </c>
      <c r="L614" s="23" t="s">
        <v>14</v>
      </c>
      <c r="M614" s="23">
        <f>ROUND('Call Data'!$I614,0)</f>
        <v>5</v>
      </c>
    </row>
    <row r="615" spans="1:13" ht="14.25" customHeight="1" x14ac:dyDescent="0.35">
      <c r="A615" s="23" t="s">
        <v>649</v>
      </c>
      <c r="B615" s="23" t="s">
        <v>38</v>
      </c>
      <c r="C615" s="23">
        <v>45</v>
      </c>
      <c r="D615" s="24" t="str" cm="1">
        <f t="array" ref="D615">_xlfn.IFS(CallData[[#This Row],[Duration]]&lt;=15,"Very short",CallData[[#This Row],[Duration]]&lt;=30,"Short",CallData[[#This Row],[Duration]]&lt;=60,"Medium",CallData[[#This Row],[Duration]]&gt;60,"Long")</f>
        <v>Medium</v>
      </c>
      <c r="E615" s="24" t="s">
        <v>35</v>
      </c>
      <c r="F615" s="25">
        <v>45119</v>
      </c>
      <c r="G615" s="26">
        <v>84</v>
      </c>
      <c r="H615" s="26" t="str" cm="1">
        <f t="array" ref="H615">_xlfn.IFS(CallData[[#This Row],[Purchase Amount]]&lt;=50,"Low",CallData[[#This Row],[Purchase Amount]]&lt;=100,"Medium",CallData[[#This Row],[Purchase Amount]]&lt;=150,"High",CallData[[#This Row],[Purchase Amount]]&gt;150,"Very High")</f>
        <v>Medium</v>
      </c>
      <c r="I615" s="23">
        <v>4.8</v>
      </c>
      <c r="J615" s="23">
        <f>IF(MONTH('Call Data'!$F615)&lt;=6, YEAR('Call Data'!$F615), YEAR('Call Data'!$F615)+1)</f>
        <v>2024</v>
      </c>
      <c r="K615" s="23" t="str">
        <f>TEXT('Call Data'!$F615,"DDDD")</f>
        <v>Wednesday</v>
      </c>
      <c r="L615" s="23" t="s">
        <v>27</v>
      </c>
      <c r="M615" s="23">
        <f>ROUND('Call Data'!$I615,0)</f>
        <v>5</v>
      </c>
    </row>
    <row r="616" spans="1:13" ht="14.25" customHeight="1" x14ac:dyDescent="0.35">
      <c r="A616" s="23" t="s">
        <v>650</v>
      </c>
      <c r="B616" s="23" t="s">
        <v>50</v>
      </c>
      <c r="C616" s="23">
        <v>114</v>
      </c>
      <c r="D616" s="24" t="str" cm="1">
        <f t="array" ref="D616">_xlfn.IFS(CallData[[#This Row],[Duration]]&lt;=15,"Very short",CallData[[#This Row],[Duration]]&lt;=30,"Short",CallData[[#This Row],[Duration]]&lt;=60,"Medium",CallData[[#This Row],[Duration]]&gt;60,"Long")</f>
        <v>Long</v>
      </c>
      <c r="E616" s="24" t="s">
        <v>31</v>
      </c>
      <c r="F616" s="25">
        <v>45119</v>
      </c>
      <c r="G616" s="26">
        <v>114</v>
      </c>
      <c r="H616" s="26" t="str" cm="1">
        <f t="array" ref="H616">_xlfn.IFS(CallData[[#This Row],[Purchase Amount]]&lt;=50,"Low",CallData[[#This Row],[Purchase Amount]]&lt;=100,"Medium",CallData[[#This Row],[Purchase Amount]]&lt;=150,"High",CallData[[#This Row],[Purchase Amount]]&gt;150,"Very High")</f>
        <v>High</v>
      </c>
      <c r="I616" s="23">
        <v>3.9</v>
      </c>
      <c r="J616" s="23">
        <f>IF(MONTH('Call Data'!$F616)&lt;=6, YEAR('Call Data'!$F616), YEAR('Call Data'!$F616)+1)</f>
        <v>2024</v>
      </c>
      <c r="K616" s="23" t="str">
        <f>TEXT('Call Data'!$F616,"DDDD")</f>
        <v>Wednesday</v>
      </c>
      <c r="L616" s="23" t="s">
        <v>14</v>
      </c>
      <c r="M616" s="23">
        <f>ROUND('Call Data'!$I616,0)</f>
        <v>4</v>
      </c>
    </row>
    <row r="617" spans="1:13" ht="14.25" customHeight="1" x14ac:dyDescent="0.35">
      <c r="A617" s="23" t="s">
        <v>651</v>
      </c>
      <c r="B617" s="23" t="s">
        <v>46</v>
      </c>
      <c r="C617" s="23">
        <v>69</v>
      </c>
      <c r="D617" s="24" t="str" cm="1">
        <f t="array" ref="D617">_xlfn.IFS(CallData[[#This Row],[Duration]]&lt;=15,"Very short",CallData[[#This Row],[Duration]]&lt;=30,"Short",CallData[[#This Row],[Duration]]&lt;=60,"Medium",CallData[[#This Row],[Duration]]&gt;60,"Long")</f>
        <v>Long</v>
      </c>
      <c r="E617" s="24" t="s">
        <v>19</v>
      </c>
      <c r="F617" s="25">
        <v>45120</v>
      </c>
      <c r="G617" s="26">
        <v>56</v>
      </c>
      <c r="H617" s="26" t="str" cm="1">
        <f t="array" ref="H617">_xlfn.IFS(CallData[[#This Row],[Purchase Amount]]&lt;=50,"Low",CallData[[#This Row],[Purchase Amount]]&lt;=100,"Medium",CallData[[#This Row],[Purchase Amount]]&lt;=150,"High",CallData[[#This Row],[Purchase Amount]]&gt;150,"Very High")</f>
        <v>Medium</v>
      </c>
      <c r="I617" s="23">
        <v>3.9</v>
      </c>
      <c r="J617" s="23">
        <f>IF(MONTH('Call Data'!$F617)&lt;=6, YEAR('Call Data'!$F617), YEAR('Call Data'!$F617)+1)</f>
        <v>2024</v>
      </c>
      <c r="K617" s="23" t="str">
        <f>TEXT('Call Data'!$F617,"DDDD")</f>
        <v>Thursday</v>
      </c>
      <c r="L617" s="23" t="s">
        <v>14</v>
      </c>
      <c r="M617" s="23">
        <f>ROUND('Call Data'!$I617,0)</f>
        <v>4</v>
      </c>
    </row>
    <row r="618" spans="1:13" ht="14.25" customHeight="1" x14ac:dyDescent="0.35">
      <c r="A618" s="23" t="s">
        <v>652</v>
      </c>
      <c r="B618" s="23" t="s">
        <v>88</v>
      </c>
      <c r="C618" s="23">
        <v>33</v>
      </c>
      <c r="D618" s="24" t="str" cm="1">
        <f t="array" ref="D618">_xlfn.IFS(CallData[[#This Row],[Duration]]&lt;=15,"Very short",CallData[[#This Row],[Duration]]&lt;=30,"Short",CallData[[#This Row],[Duration]]&lt;=60,"Medium",CallData[[#This Row],[Duration]]&gt;60,"Long")</f>
        <v>Medium</v>
      </c>
      <c r="E618" s="24" t="s">
        <v>24</v>
      </c>
      <c r="F618" s="25">
        <v>45120</v>
      </c>
      <c r="G618" s="26">
        <v>27</v>
      </c>
      <c r="H618" s="26" t="str" cm="1">
        <f t="array" ref="H618">_xlfn.IFS(CallData[[#This Row],[Purchase Amount]]&lt;=50,"Low",CallData[[#This Row],[Purchase Amount]]&lt;=100,"Medium",CallData[[#This Row],[Purchase Amount]]&lt;=150,"High",CallData[[#This Row],[Purchase Amount]]&gt;150,"Very High")</f>
        <v>Low</v>
      </c>
      <c r="I618" s="23">
        <v>3.7</v>
      </c>
      <c r="J618" s="23">
        <f>IF(MONTH('Call Data'!$F618)&lt;=6, YEAR('Call Data'!$F618), YEAR('Call Data'!$F618)+1)</f>
        <v>2024</v>
      </c>
      <c r="K618" s="23" t="str">
        <f>TEXT('Call Data'!$F618,"DDDD")</f>
        <v>Thursday</v>
      </c>
      <c r="L618" s="23" t="s">
        <v>27</v>
      </c>
      <c r="M618" s="23">
        <f>ROUND('Call Data'!$I618,0)</f>
        <v>4</v>
      </c>
    </row>
    <row r="619" spans="1:13" ht="14.25" customHeight="1" x14ac:dyDescent="0.35">
      <c r="A619" s="23" t="s">
        <v>653</v>
      </c>
      <c r="B619" s="23" t="s">
        <v>16</v>
      </c>
      <c r="C619" s="23">
        <v>31</v>
      </c>
      <c r="D619" s="24" t="str" cm="1">
        <f t="array" ref="D619">_xlfn.IFS(CallData[[#This Row],[Duration]]&lt;=15,"Very short",CallData[[#This Row],[Duration]]&lt;=30,"Short",CallData[[#This Row],[Duration]]&lt;=60,"Medium",CallData[[#This Row],[Duration]]&gt;60,"Long")</f>
        <v>Medium</v>
      </c>
      <c r="E619" s="24" t="s">
        <v>13</v>
      </c>
      <c r="F619" s="25">
        <v>45121</v>
      </c>
      <c r="G619" s="26">
        <v>84</v>
      </c>
      <c r="H619" s="26" t="str" cm="1">
        <f t="array" ref="H619">_xlfn.IFS(CallData[[#This Row],[Purchase Amount]]&lt;=50,"Low",CallData[[#This Row],[Purchase Amount]]&lt;=100,"Medium",CallData[[#This Row],[Purchase Amount]]&lt;=150,"High",CallData[[#This Row],[Purchase Amount]]&gt;150,"Very High")</f>
        <v>Medium</v>
      </c>
      <c r="I619" s="23">
        <v>4.8</v>
      </c>
      <c r="J619" s="23">
        <f>IF(MONTH('Call Data'!$F619)&lt;=6, YEAR('Call Data'!$F619), YEAR('Call Data'!$F619)+1)</f>
        <v>2024</v>
      </c>
      <c r="K619" s="23" t="str">
        <f>TEXT('Call Data'!$F619,"DDDD")</f>
        <v>Friday</v>
      </c>
      <c r="L619" s="23" t="s">
        <v>27</v>
      </c>
      <c r="M619" s="23">
        <f>ROUND('Call Data'!$I619,0)</f>
        <v>5</v>
      </c>
    </row>
    <row r="620" spans="1:13" ht="14.25" customHeight="1" x14ac:dyDescent="0.35">
      <c r="A620" s="23" t="s">
        <v>654</v>
      </c>
      <c r="B620" s="23" t="s">
        <v>38</v>
      </c>
      <c r="C620" s="23">
        <v>168</v>
      </c>
      <c r="D620" s="24" t="str" cm="1">
        <f t="array" ref="D620">_xlfn.IFS(CallData[[#This Row],[Duration]]&lt;=15,"Very short",CallData[[#This Row],[Duration]]&lt;=30,"Short",CallData[[#This Row],[Duration]]&lt;=60,"Medium",CallData[[#This Row],[Duration]]&gt;60,"Long")</f>
        <v>Long</v>
      </c>
      <c r="E620" s="24" t="s">
        <v>24</v>
      </c>
      <c r="F620" s="25">
        <v>45121</v>
      </c>
      <c r="G620" s="26">
        <v>72</v>
      </c>
      <c r="H620" s="26" t="str" cm="1">
        <f t="array" ref="H620">_xlfn.IFS(CallData[[#This Row],[Purchase Amount]]&lt;=50,"Low",CallData[[#This Row],[Purchase Amount]]&lt;=100,"Medium",CallData[[#This Row],[Purchase Amount]]&lt;=150,"High",CallData[[#This Row],[Purchase Amount]]&gt;150,"Very High")</f>
        <v>Medium</v>
      </c>
      <c r="I620" s="23">
        <v>3.5</v>
      </c>
      <c r="J620" s="23">
        <f>IF(MONTH('Call Data'!$F620)&lt;=6, YEAR('Call Data'!$F620), YEAR('Call Data'!$F620)+1)</f>
        <v>2024</v>
      </c>
      <c r="K620" s="23" t="str">
        <f>TEXT('Call Data'!$F620,"DDDD")</f>
        <v>Friday</v>
      </c>
      <c r="L620" s="23" t="s">
        <v>25</v>
      </c>
      <c r="M620" s="23">
        <f>ROUND('Call Data'!$I620,0)</f>
        <v>4</v>
      </c>
    </row>
    <row r="621" spans="1:13" ht="14.25" customHeight="1" x14ac:dyDescent="0.35">
      <c r="A621" s="23" t="s">
        <v>655</v>
      </c>
      <c r="B621" s="23" t="s">
        <v>18</v>
      </c>
      <c r="C621" s="23">
        <v>111</v>
      </c>
      <c r="D621" s="24" t="str" cm="1">
        <f t="array" ref="D621">_xlfn.IFS(CallData[[#This Row],[Duration]]&lt;=15,"Very short",CallData[[#This Row],[Duration]]&lt;=30,"Short",CallData[[#This Row],[Duration]]&lt;=60,"Medium",CallData[[#This Row],[Duration]]&gt;60,"Long")</f>
        <v>Long</v>
      </c>
      <c r="E621" s="24" t="s">
        <v>31</v>
      </c>
      <c r="F621" s="25">
        <v>45122</v>
      </c>
      <c r="G621" s="26">
        <v>126</v>
      </c>
      <c r="H621" s="26" t="str" cm="1">
        <f t="array" ref="H621">_xlfn.IFS(CallData[[#This Row],[Purchase Amount]]&lt;=50,"Low",CallData[[#This Row],[Purchase Amount]]&lt;=100,"Medium",CallData[[#This Row],[Purchase Amount]]&lt;=150,"High",CallData[[#This Row],[Purchase Amount]]&gt;150,"Very High")</f>
        <v>High</v>
      </c>
      <c r="I621" s="23">
        <v>4.2</v>
      </c>
      <c r="J621" s="23">
        <f>IF(MONTH('Call Data'!$F621)&lt;=6, YEAR('Call Data'!$F621), YEAR('Call Data'!$F621)+1)</f>
        <v>2024</v>
      </c>
      <c r="K621" s="23" t="str">
        <f>TEXT('Call Data'!$F621,"DDDD")</f>
        <v>Saturday</v>
      </c>
      <c r="L621" s="23" t="s">
        <v>14</v>
      </c>
      <c r="M621" s="23">
        <f>ROUND('Call Data'!$I621,0)</f>
        <v>4</v>
      </c>
    </row>
    <row r="622" spans="1:13" ht="14.25" customHeight="1" x14ac:dyDescent="0.35">
      <c r="A622" s="23" t="s">
        <v>656</v>
      </c>
      <c r="B622" s="23" t="s">
        <v>16</v>
      </c>
      <c r="C622" s="23">
        <v>80</v>
      </c>
      <c r="D622" s="24" t="str" cm="1">
        <f t="array" ref="D622">_xlfn.IFS(CallData[[#This Row],[Duration]]&lt;=15,"Very short",CallData[[#This Row],[Duration]]&lt;=30,"Short",CallData[[#This Row],[Duration]]&lt;=60,"Medium",CallData[[#This Row],[Duration]]&gt;60,"Long")</f>
        <v>Long</v>
      </c>
      <c r="E622" s="24" t="s">
        <v>24</v>
      </c>
      <c r="F622" s="25">
        <v>45123</v>
      </c>
      <c r="G622" s="26">
        <v>88</v>
      </c>
      <c r="H622" s="26" t="str" cm="1">
        <f t="array" ref="H622">_xlfn.IFS(CallData[[#This Row],[Purchase Amount]]&lt;=50,"Low",CallData[[#This Row],[Purchase Amount]]&lt;=100,"Medium",CallData[[#This Row],[Purchase Amount]]&lt;=150,"High",CallData[[#This Row],[Purchase Amount]]&gt;150,"Very High")</f>
        <v>Medium</v>
      </c>
      <c r="I622" s="23">
        <v>4.9000000000000004</v>
      </c>
      <c r="J622" s="23">
        <f>IF(MONTH('Call Data'!$F622)&lt;=6, YEAR('Call Data'!$F622), YEAR('Call Data'!$F622)+1)</f>
        <v>2024</v>
      </c>
      <c r="K622" s="23" t="str">
        <f>TEXT('Call Data'!$F622,"DDDD")</f>
        <v>Sunday</v>
      </c>
      <c r="L622" s="23" t="s">
        <v>14</v>
      </c>
      <c r="M622" s="23">
        <f>ROUND('Call Data'!$I622,0)</f>
        <v>5</v>
      </c>
    </row>
    <row r="623" spans="1:13" ht="14.25" customHeight="1" x14ac:dyDescent="0.35">
      <c r="A623" s="23" t="s">
        <v>657</v>
      </c>
      <c r="B623" s="23" t="s">
        <v>12</v>
      </c>
      <c r="C623" s="23">
        <v>37</v>
      </c>
      <c r="D623" s="24" t="str" cm="1">
        <f t="array" ref="D623">_xlfn.IFS(CallData[[#This Row],[Duration]]&lt;=15,"Very short",CallData[[#This Row],[Duration]]&lt;=30,"Short",CallData[[#This Row],[Duration]]&lt;=60,"Medium",CallData[[#This Row],[Duration]]&gt;60,"Long")</f>
        <v>Medium</v>
      </c>
      <c r="E623" s="24" t="s">
        <v>24</v>
      </c>
      <c r="F623" s="25">
        <v>45123</v>
      </c>
      <c r="G623" s="26">
        <v>124</v>
      </c>
      <c r="H623" s="26" t="str" cm="1">
        <f t="array" ref="H623">_xlfn.IFS(CallData[[#This Row],[Purchase Amount]]&lt;=50,"Low",CallData[[#This Row],[Purchase Amount]]&lt;=100,"Medium",CallData[[#This Row],[Purchase Amount]]&lt;=150,"High",CallData[[#This Row],[Purchase Amount]]&gt;150,"Very High")</f>
        <v>High</v>
      </c>
      <c r="I623" s="23">
        <v>4.5999999999999996</v>
      </c>
      <c r="J623" s="23">
        <f>IF(MONTH('Call Data'!$F623)&lt;=6, YEAR('Call Data'!$F623), YEAR('Call Data'!$F623)+1)</f>
        <v>2024</v>
      </c>
      <c r="K623" s="23" t="str">
        <f>TEXT('Call Data'!$F623,"DDDD")</f>
        <v>Sunday</v>
      </c>
      <c r="L623" s="23" t="s">
        <v>27</v>
      </c>
      <c r="M623" s="23">
        <f>ROUND('Call Data'!$I623,0)</f>
        <v>5</v>
      </c>
    </row>
    <row r="624" spans="1:13" ht="14.25" customHeight="1" x14ac:dyDescent="0.35">
      <c r="A624" s="23" t="s">
        <v>658</v>
      </c>
      <c r="B624" s="23" t="s">
        <v>68</v>
      </c>
      <c r="C624" s="23">
        <v>137</v>
      </c>
      <c r="D624" s="24" t="str" cm="1">
        <f t="array" ref="D624">_xlfn.IFS(CallData[[#This Row],[Duration]]&lt;=15,"Very short",CallData[[#This Row],[Duration]]&lt;=30,"Short",CallData[[#This Row],[Duration]]&lt;=60,"Medium",CallData[[#This Row],[Duration]]&gt;60,"Long")</f>
        <v>Long</v>
      </c>
      <c r="E624" s="24" t="s">
        <v>24</v>
      </c>
      <c r="F624" s="25">
        <v>45124</v>
      </c>
      <c r="G624" s="26">
        <v>84</v>
      </c>
      <c r="H624" s="26" t="str" cm="1">
        <f t="array" ref="H624">_xlfn.IFS(CallData[[#This Row],[Purchase Amount]]&lt;=50,"Low",CallData[[#This Row],[Purchase Amount]]&lt;=100,"Medium",CallData[[#This Row],[Purchase Amount]]&lt;=150,"High",CallData[[#This Row],[Purchase Amount]]&gt;150,"Very High")</f>
        <v>Medium</v>
      </c>
      <c r="I624" s="23">
        <v>2.6</v>
      </c>
      <c r="J624" s="23">
        <f>IF(MONTH('Call Data'!$F624)&lt;=6, YEAR('Call Data'!$F624), YEAR('Call Data'!$F624)+1)</f>
        <v>2024</v>
      </c>
      <c r="K624" s="23" t="str">
        <f>TEXT('Call Data'!$F624,"DDDD")</f>
        <v>Monday</v>
      </c>
      <c r="L624" s="23" t="s">
        <v>25</v>
      </c>
      <c r="M624" s="23">
        <f>ROUND('Call Data'!$I624,0)</f>
        <v>3</v>
      </c>
    </row>
    <row r="625" spans="1:13" ht="14.25" customHeight="1" x14ac:dyDescent="0.35">
      <c r="A625" s="23" t="s">
        <v>659</v>
      </c>
      <c r="B625" s="23" t="s">
        <v>46</v>
      </c>
      <c r="C625" s="23">
        <v>123</v>
      </c>
      <c r="D625" s="24" t="str" cm="1">
        <f t="array" ref="D625">_xlfn.IFS(CallData[[#This Row],[Duration]]&lt;=15,"Very short",CallData[[#This Row],[Duration]]&lt;=30,"Short",CallData[[#This Row],[Duration]]&lt;=60,"Medium",CallData[[#This Row],[Duration]]&gt;60,"Long")</f>
        <v>Long</v>
      </c>
      <c r="E625" s="24" t="s">
        <v>31</v>
      </c>
      <c r="F625" s="25">
        <v>45124</v>
      </c>
      <c r="G625" s="26">
        <v>80</v>
      </c>
      <c r="H625" s="26" t="str" cm="1">
        <f t="array" ref="H625">_xlfn.IFS(CallData[[#This Row],[Purchase Amount]]&lt;=50,"Low",CallData[[#This Row],[Purchase Amount]]&lt;=100,"Medium",CallData[[#This Row],[Purchase Amount]]&lt;=150,"High",CallData[[#This Row],[Purchase Amount]]&gt;150,"Very High")</f>
        <v>Medium</v>
      </c>
      <c r="I625" s="23">
        <v>2.7</v>
      </c>
      <c r="J625" s="23">
        <f>IF(MONTH('Call Data'!$F625)&lt;=6, YEAR('Call Data'!$F625), YEAR('Call Data'!$F625)+1)</f>
        <v>2024</v>
      </c>
      <c r="K625" s="23" t="str">
        <f>TEXT('Call Data'!$F625,"DDDD")</f>
        <v>Monday</v>
      </c>
      <c r="L625" s="23" t="s">
        <v>25</v>
      </c>
      <c r="M625" s="23">
        <f>ROUND('Call Data'!$I625,0)</f>
        <v>3</v>
      </c>
    </row>
    <row r="626" spans="1:13" ht="14.25" customHeight="1" x14ac:dyDescent="0.35">
      <c r="A626" s="23" t="s">
        <v>660</v>
      </c>
      <c r="B626" s="23" t="s">
        <v>58</v>
      </c>
      <c r="C626" s="23">
        <v>105</v>
      </c>
      <c r="D626" s="24" t="str" cm="1">
        <f t="array" ref="D626">_xlfn.IFS(CallData[[#This Row],[Duration]]&lt;=15,"Very short",CallData[[#This Row],[Duration]]&lt;=30,"Short",CallData[[#This Row],[Duration]]&lt;=60,"Medium",CallData[[#This Row],[Duration]]&gt;60,"Long")</f>
        <v>Long</v>
      </c>
      <c r="E626" s="24" t="s">
        <v>31</v>
      </c>
      <c r="F626" s="25">
        <v>45125</v>
      </c>
      <c r="G626" s="26">
        <v>176</v>
      </c>
      <c r="H626" s="26" t="str" cm="1">
        <f t="array" ref="H626">_xlfn.IFS(CallData[[#This Row],[Purchase Amount]]&lt;=50,"Low",CallData[[#This Row],[Purchase Amount]]&lt;=100,"Medium",CallData[[#This Row],[Purchase Amount]]&lt;=150,"High",CallData[[#This Row],[Purchase Amount]]&gt;150,"Very High")</f>
        <v>Very High</v>
      </c>
      <c r="I626" s="23">
        <v>4.7</v>
      </c>
      <c r="J626" s="23">
        <f>IF(MONTH('Call Data'!$F626)&lt;=6, YEAR('Call Data'!$F626), YEAR('Call Data'!$F626)+1)</f>
        <v>2024</v>
      </c>
      <c r="K626" s="23" t="str">
        <f>TEXT('Call Data'!$F626,"DDDD")</f>
        <v>Tuesday</v>
      </c>
      <c r="L626" s="23" t="s">
        <v>14</v>
      </c>
      <c r="M626" s="23">
        <f>ROUND('Call Data'!$I626,0)</f>
        <v>5</v>
      </c>
    </row>
    <row r="627" spans="1:13" ht="14.25" customHeight="1" x14ac:dyDescent="0.35">
      <c r="A627" s="23" t="s">
        <v>661</v>
      </c>
      <c r="B627" s="23" t="s">
        <v>12</v>
      </c>
      <c r="C627" s="23">
        <v>76</v>
      </c>
      <c r="D627" s="24" t="str" cm="1">
        <f t="array" ref="D627">_xlfn.IFS(CallData[[#This Row],[Duration]]&lt;=15,"Very short",CallData[[#This Row],[Duration]]&lt;=30,"Short",CallData[[#This Row],[Duration]]&lt;=60,"Medium",CallData[[#This Row],[Duration]]&gt;60,"Long")</f>
        <v>Long</v>
      </c>
      <c r="E627" s="24" t="s">
        <v>35</v>
      </c>
      <c r="F627" s="25">
        <v>45126</v>
      </c>
      <c r="G627" s="26">
        <v>84</v>
      </c>
      <c r="H627" s="26" t="str" cm="1">
        <f t="array" ref="H627">_xlfn.IFS(CallData[[#This Row],[Purchase Amount]]&lt;=50,"Low",CallData[[#This Row],[Purchase Amount]]&lt;=100,"Medium",CallData[[#This Row],[Purchase Amount]]&lt;=150,"High",CallData[[#This Row],[Purchase Amount]]&gt;150,"Very High")</f>
        <v>Medium</v>
      </c>
      <c r="I627" s="23">
        <v>3.9</v>
      </c>
      <c r="J627" s="23">
        <f>IF(MONTH('Call Data'!$F627)&lt;=6, YEAR('Call Data'!$F627), YEAR('Call Data'!$F627)+1)</f>
        <v>2024</v>
      </c>
      <c r="K627" s="23" t="str">
        <f>TEXT('Call Data'!$F627,"DDDD")</f>
        <v>Wednesday</v>
      </c>
      <c r="L627" s="23" t="s">
        <v>14</v>
      </c>
      <c r="M627" s="23">
        <f>ROUND('Call Data'!$I627,0)</f>
        <v>4</v>
      </c>
    </row>
    <row r="628" spans="1:13" ht="14.25" customHeight="1" x14ac:dyDescent="0.35">
      <c r="A628" s="23" t="s">
        <v>662</v>
      </c>
      <c r="B628" s="23" t="s">
        <v>16</v>
      </c>
      <c r="C628" s="23">
        <v>144</v>
      </c>
      <c r="D628" s="24" t="str" cm="1">
        <f t="array" ref="D628">_xlfn.IFS(CallData[[#This Row],[Duration]]&lt;=15,"Very short",CallData[[#This Row],[Duration]]&lt;=30,"Short",CallData[[#This Row],[Duration]]&lt;=60,"Medium",CallData[[#This Row],[Duration]]&gt;60,"Long")</f>
        <v>Long</v>
      </c>
      <c r="E628" s="24" t="s">
        <v>35</v>
      </c>
      <c r="F628" s="25">
        <v>45126</v>
      </c>
      <c r="G628" s="26">
        <v>164</v>
      </c>
      <c r="H628" s="26" t="str" cm="1">
        <f t="array" ref="H628">_xlfn.IFS(CallData[[#This Row],[Purchase Amount]]&lt;=50,"Low",CallData[[#This Row],[Purchase Amount]]&lt;=100,"Medium",CallData[[#This Row],[Purchase Amount]]&lt;=150,"High",CallData[[#This Row],[Purchase Amount]]&gt;150,"Very High")</f>
        <v>Very High</v>
      </c>
      <c r="I628" s="23">
        <v>2.8</v>
      </c>
      <c r="J628" s="23">
        <f>IF(MONTH('Call Data'!$F628)&lt;=6, YEAR('Call Data'!$F628), YEAR('Call Data'!$F628)+1)</f>
        <v>2024</v>
      </c>
      <c r="K628" s="23" t="str">
        <f>TEXT('Call Data'!$F628,"DDDD")</f>
        <v>Wednesday</v>
      </c>
      <c r="L628" s="23" t="s">
        <v>25</v>
      </c>
      <c r="M628" s="23">
        <f>ROUND('Call Data'!$I628,0)</f>
        <v>3</v>
      </c>
    </row>
    <row r="629" spans="1:13" ht="14.25" customHeight="1" x14ac:dyDescent="0.35">
      <c r="A629" s="23" t="s">
        <v>663</v>
      </c>
      <c r="B629" s="23" t="s">
        <v>88</v>
      </c>
      <c r="C629" s="23">
        <v>109</v>
      </c>
      <c r="D629" s="24" t="str" cm="1">
        <f t="array" ref="D629">_xlfn.IFS(CallData[[#This Row],[Duration]]&lt;=15,"Very short",CallData[[#This Row],[Duration]]&lt;=30,"Short",CallData[[#This Row],[Duration]]&lt;=60,"Medium",CallData[[#This Row],[Duration]]&gt;60,"Long")</f>
        <v>Long</v>
      </c>
      <c r="E629" s="24" t="s">
        <v>13</v>
      </c>
      <c r="F629" s="25">
        <v>45126</v>
      </c>
      <c r="G629" s="26">
        <v>132</v>
      </c>
      <c r="H629" s="26" t="str" cm="1">
        <f t="array" ref="H629">_xlfn.IFS(CallData[[#This Row],[Purchase Amount]]&lt;=50,"Low",CallData[[#This Row],[Purchase Amount]]&lt;=100,"Medium",CallData[[#This Row],[Purchase Amount]]&lt;=150,"High",CallData[[#This Row],[Purchase Amount]]&gt;150,"Very High")</f>
        <v>High</v>
      </c>
      <c r="I629" s="23">
        <v>3.1</v>
      </c>
      <c r="J629" s="23">
        <f>IF(MONTH('Call Data'!$F629)&lt;=6, YEAR('Call Data'!$F629), YEAR('Call Data'!$F629)+1)</f>
        <v>2024</v>
      </c>
      <c r="K629" s="23" t="str">
        <f>TEXT('Call Data'!$F629,"DDDD")</f>
        <v>Wednesday</v>
      </c>
      <c r="L629" s="23" t="s">
        <v>14</v>
      </c>
      <c r="M629" s="23">
        <f>ROUND('Call Data'!$I629,0)</f>
        <v>3</v>
      </c>
    </row>
    <row r="630" spans="1:13" ht="14.25" customHeight="1" x14ac:dyDescent="0.35">
      <c r="A630" s="23" t="s">
        <v>664</v>
      </c>
      <c r="B630" s="23" t="s">
        <v>46</v>
      </c>
      <c r="C630" s="23">
        <v>172</v>
      </c>
      <c r="D630" s="24" t="str" cm="1">
        <f t="array" ref="D630">_xlfn.IFS(CallData[[#This Row],[Duration]]&lt;=15,"Very short",CallData[[#This Row],[Duration]]&lt;=30,"Short",CallData[[#This Row],[Duration]]&lt;=60,"Medium",CallData[[#This Row],[Duration]]&gt;60,"Long")</f>
        <v>Long</v>
      </c>
      <c r="E630" s="24" t="s">
        <v>24</v>
      </c>
      <c r="F630" s="25">
        <v>45127</v>
      </c>
      <c r="G630" s="26">
        <v>27</v>
      </c>
      <c r="H630" s="26" t="str" cm="1">
        <f t="array" ref="H630">_xlfn.IFS(CallData[[#This Row],[Purchase Amount]]&lt;=50,"Low",CallData[[#This Row],[Purchase Amount]]&lt;=100,"Medium",CallData[[#This Row],[Purchase Amount]]&lt;=150,"High",CallData[[#This Row],[Purchase Amount]]&gt;150,"Very High")</f>
        <v>Low</v>
      </c>
      <c r="I630" s="23">
        <v>4.2</v>
      </c>
      <c r="J630" s="23">
        <f>IF(MONTH('Call Data'!$F630)&lt;=6, YEAR('Call Data'!$F630), YEAR('Call Data'!$F630)+1)</f>
        <v>2024</v>
      </c>
      <c r="K630" s="23" t="str">
        <f>TEXT('Call Data'!$F630,"DDDD")</f>
        <v>Thursday</v>
      </c>
      <c r="L630" s="23" t="s">
        <v>25</v>
      </c>
      <c r="M630" s="23">
        <f>ROUND('Call Data'!$I630,0)</f>
        <v>4</v>
      </c>
    </row>
    <row r="631" spans="1:13" ht="14.25" customHeight="1" x14ac:dyDescent="0.35">
      <c r="A631" s="23" t="s">
        <v>665</v>
      </c>
      <c r="B631" s="23" t="s">
        <v>16</v>
      </c>
      <c r="C631" s="23">
        <v>56</v>
      </c>
      <c r="D631" s="24" t="str" cm="1">
        <f t="array" ref="D631">_xlfn.IFS(CallData[[#This Row],[Duration]]&lt;=15,"Very short",CallData[[#This Row],[Duration]]&lt;=30,"Short",CallData[[#This Row],[Duration]]&lt;=60,"Medium",CallData[[#This Row],[Duration]]&gt;60,"Long")</f>
        <v>Medium</v>
      </c>
      <c r="E631" s="24" t="s">
        <v>31</v>
      </c>
      <c r="F631" s="25">
        <v>45127</v>
      </c>
      <c r="G631" s="26">
        <v>27</v>
      </c>
      <c r="H631" s="26" t="str" cm="1">
        <f t="array" ref="H631">_xlfn.IFS(CallData[[#This Row],[Purchase Amount]]&lt;=50,"Low",CallData[[#This Row],[Purchase Amount]]&lt;=100,"Medium",CallData[[#This Row],[Purchase Amount]]&lt;=150,"High",CallData[[#This Row],[Purchase Amount]]&gt;150,"Very High")</f>
        <v>Low</v>
      </c>
      <c r="I631" s="23">
        <v>4.3</v>
      </c>
      <c r="J631" s="23">
        <f>IF(MONTH('Call Data'!$F631)&lt;=6, YEAR('Call Data'!$F631), YEAR('Call Data'!$F631)+1)</f>
        <v>2024</v>
      </c>
      <c r="K631" s="23" t="str">
        <f>TEXT('Call Data'!$F631,"DDDD")</f>
        <v>Thursday</v>
      </c>
      <c r="L631" s="23" t="s">
        <v>27</v>
      </c>
      <c r="M631" s="23">
        <f>ROUND('Call Data'!$I631,0)</f>
        <v>4</v>
      </c>
    </row>
    <row r="632" spans="1:13" ht="14.25" customHeight="1" x14ac:dyDescent="0.35">
      <c r="A632" s="23" t="s">
        <v>666</v>
      </c>
      <c r="B632" s="23" t="s">
        <v>16</v>
      </c>
      <c r="C632" s="23">
        <v>121</v>
      </c>
      <c r="D632" s="24" t="str" cm="1">
        <f t="array" ref="D632">_xlfn.IFS(CallData[[#This Row],[Duration]]&lt;=15,"Very short",CallData[[#This Row],[Duration]]&lt;=30,"Short",CallData[[#This Row],[Duration]]&lt;=60,"Medium",CallData[[#This Row],[Duration]]&gt;60,"Long")</f>
        <v>Long</v>
      </c>
      <c r="E632" s="24" t="s">
        <v>19</v>
      </c>
      <c r="F632" s="25">
        <v>45127</v>
      </c>
      <c r="G632" s="26">
        <v>20</v>
      </c>
      <c r="H632" s="26" t="str" cm="1">
        <f t="array" ref="H632">_xlfn.IFS(CallData[[#This Row],[Purchase Amount]]&lt;=50,"Low",CallData[[#This Row],[Purchase Amount]]&lt;=100,"Medium",CallData[[#This Row],[Purchase Amount]]&lt;=150,"High",CallData[[#This Row],[Purchase Amount]]&gt;150,"Very High")</f>
        <v>Low</v>
      </c>
      <c r="I632" s="23">
        <v>2.7</v>
      </c>
      <c r="J632" s="23">
        <f>IF(MONTH('Call Data'!$F632)&lt;=6, YEAR('Call Data'!$F632), YEAR('Call Data'!$F632)+1)</f>
        <v>2024</v>
      </c>
      <c r="K632" s="23" t="str">
        <f>TEXT('Call Data'!$F632,"DDDD")</f>
        <v>Thursday</v>
      </c>
      <c r="L632" s="23" t="s">
        <v>25</v>
      </c>
      <c r="M632" s="23">
        <f>ROUND('Call Data'!$I632,0)</f>
        <v>3</v>
      </c>
    </row>
    <row r="633" spans="1:13" ht="14.25" customHeight="1" x14ac:dyDescent="0.35">
      <c r="A633" s="23" t="s">
        <v>667</v>
      </c>
      <c r="B633" s="23" t="s">
        <v>46</v>
      </c>
      <c r="C633" s="23">
        <v>41</v>
      </c>
      <c r="D633" s="24" t="str" cm="1">
        <f t="array" ref="D633">_xlfn.IFS(CallData[[#This Row],[Duration]]&lt;=15,"Very short",CallData[[#This Row],[Duration]]&lt;=30,"Short",CallData[[#This Row],[Duration]]&lt;=60,"Medium",CallData[[#This Row],[Duration]]&gt;60,"Long")</f>
        <v>Medium</v>
      </c>
      <c r="E633" s="24" t="s">
        <v>31</v>
      </c>
      <c r="F633" s="25">
        <v>45128</v>
      </c>
      <c r="G633" s="26">
        <v>112</v>
      </c>
      <c r="H633" s="26" t="str" cm="1">
        <f t="array" ref="H633">_xlfn.IFS(CallData[[#This Row],[Purchase Amount]]&lt;=50,"Low",CallData[[#This Row],[Purchase Amount]]&lt;=100,"Medium",CallData[[#This Row],[Purchase Amount]]&lt;=150,"High",CallData[[#This Row],[Purchase Amount]]&gt;150,"Very High")</f>
        <v>High</v>
      </c>
      <c r="I633" s="23">
        <v>2.2999999999999998</v>
      </c>
      <c r="J633" s="23">
        <f>IF(MONTH('Call Data'!$F633)&lt;=6, YEAR('Call Data'!$F633), YEAR('Call Data'!$F633)+1)</f>
        <v>2024</v>
      </c>
      <c r="K633" s="23" t="str">
        <f>TEXT('Call Data'!$F633,"DDDD")</f>
        <v>Friday</v>
      </c>
      <c r="L633" s="23" t="s">
        <v>27</v>
      </c>
      <c r="M633" s="23">
        <f>ROUND('Call Data'!$I633,0)</f>
        <v>2</v>
      </c>
    </row>
    <row r="634" spans="1:13" ht="14.25" customHeight="1" x14ac:dyDescent="0.35">
      <c r="A634" s="23" t="s">
        <v>668</v>
      </c>
      <c r="B634" s="23" t="s">
        <v>21</v>
      </c>
      <c r="C634" s="23">
        <v>60</v>
      </c>
      <c r="D634" s="24" t="str" cm="1">
        <f t="array" ref="D634">_xlfn.IFS(CallData[[#This Row],[Duration]]&lt;=15,"Very short",CallData[[#This Row],[Duration]]&lt;=30,"Short",CallData[[#This Row],[Duration]]&lt;=60,"Medium",CallData[[#This Row],[Duration]]&gt;60,"Long")</f>
        <v>Medium</v>
      </c>
      <c r="E634" s="24" t="s">
        <v>24</v>
      </c>
      <c r="F634" s="25">
        <v>45128</v>
      </c>
      <c r="G634" s="26">
        <v>60</v>
      </c>
      <c r="H634" s="26" t="str" cm="1">
        <f t="array" ref="H634">_xlfn.IFS(CallData[[#This Row],[Purchase Amount]]&lt;=50,"Low",CallData[[#This Row],[Purchase Amount]]&lt;=100,"Medium",CallData[[#This Row],[Purchase Amount]]&lt;=150,"High",CallData[[#This Row],[Purchase Amount]]&gt;150,"Very High")</f>
        <v>Medium</v>
      </c>
      <c r="I634" s="23">
        <v>2.2999999999999998</v>
      </c>
      <c r="J634" s="23">
        <f>IF(MONTH('Call Data'!$F634)&lt;=6, YEAR('Call Data'!$F634), YEAR('Call Data'!$F634)+1)</f>
        <v>2024</v>
      </c>
      <c r="K634" s="23" t="str">
        <f>TEXT('Call Data'!$F634,"DDDD")</f>
        <v>Friday</v>
      </c>
      <c r="L634" s="23" t="s">
        <v>27</v>
      </c>
      <c r="M634" s="23">
        <f>ROUND('Call Data'!$I634,0)</f>
        <v>2</v>
      </c>
    </row>
    <row r="635" spans="1:13" ht="14.25" customHeight="1" x14ac:dyDescent="0.35">
      <c r="A635" s="23" t="s">
        <v>669</v>
      </c>
      <c r="B635" s="23" t="s">
        <v>21</v>
      </c>
      <c r="C635" s="23">
        <v>144</v>
      </c>
      <c r="D635" s="24" t="str" cm="1">
        <f t="array" ref="D635">_xlfn.IFS(CallData[[#This Row],[Duration]]&lt;=15,"Very short",CallData[[#This Row],[Duration]]&lt;=30,"Short",CallData[[#This Row],[Duration]]&lt;=60,"Medium",CallData[[#This Row],[Duration]]&gt;60,"Long")</f>
        <v>Long</v>
      </c>
      <c r="E635" s="24" t="s">
        <v>24</v>
      </c>
      <c r="F635" s="25">
        <v>45129</v>
      </c>
      <c r="G635" s="26">
        <v>102</v>
      </c>
      <c r="H635" s="26" t="str" cm="1">
        <f t="array" ref="H635">_xlfn.IFS(CallData[[#This Row],[Purchase Amount]]&lt;=50,"Low",CallData[[#This Row],[Purchase Amount]]&lt;=100,"Medium",CallData[[#This Row],[Purchase Amount]]&lt;=150,"High",CallData[[#This Row],[Purchase Amount]]&gt;150,"Very High")</f>
        <v>High</v>
      </c>
      <c r="I635" s="23">
        <v>2.9</v>
      </c>
      <c r="J635" s="23">
        <f>IF(MONTH('Call Data'!$F635)&lt;=6, YEAR('Call Data'!$F635), YEAR('Call Data'!$F635)+1)</f>
        <v>2024</v>
      </c>
      <c r="K635" s="23" t="str">
        <f>TEXT('Call Data'!$F635,"DDDD")</f>
        <v>Saturday</v>
      </c>
      <c r="L635" s="23" t="s">
        <v>25</v>
      </c>
      <c r="M635" s="23">
        <f>ROUND('Call Data'!$I635,0)</f>
        <v>3</v>
      </c>
    </row>
    <row r="636" spans="1:13" ht="14.25" customHeight="1" x14ac:dyDescent="0.35">
      <c r="A636" s="23" t="s">
        <v>670</v>
      </c>
      <c r="B636" s="23" t="s">
        <v>23</v>
      </c>
      <c r="C636" s="23">
        <v>67</v>
      </c>
      <c r="D636" s="24" t="str" cm="1">
        <f t="array" ref="D636">_xlfn.IFS(CallData[[#This Row],[Duration]]&lt;=15,"Very short",CallData[[#This Row],[Duration]]&lt;=30,"Short",CallData[[#This Row],[Duration]]&lt;=60,"Medium",CallData[[#This Row],[Duration]]&gt;60,"Long")</f>
        <v>Long</v>
      </c>
      <c r="E636" s="24" t="s">
        <v>24</v>
      </c>
      <c r="F636" s="25">
        <v>45129</v>
      </c>
      <c r="G636" s="26">
        <v>38</v>
      </c>
      <c r="H636" s="26" t="str" cm="1">
        <f t="array" ref="H636">_xlfn.IFS(CallData[[#This Row],[Purchase Amount]]&lt;=50,"Low",CallData[[#This Row],[Purchase Amount]]&lt;=100,"Medium",CallData[[#This Row],[Purchase Amount]]&lt;=150,"High",CallData[[#This Row],[Purchase Amount]]&gt;150,"Very High")</f>
        <v>Low</v>
      </c>
      <c r="I636" s="23">
        <v>4.2</v>
      </c>
      <c r="J636" s="23">
        <f>IF(MONTH('Call Data'!$F636)&lt;=6, YEAR('Call Data'!$F636), YEAR('Call Data'!$F636)+1)</f>
        <v>2024</v>
      </c>
      <c r="K636" s="23" t="str">
        <f>TEXT('Call Data'!$F636,"DDDD")</f>
        <v>Saturday</v>
      </c>
      <c r="L636" s="23" t="s">
        <v>14</v>
      </c>
      <c r="M636" s="23">
        <f>ROUND('Call Data'!$I636,0)</f>
        <v>4</v>
      </c>
    </row>
    <row r="637" spans="1:13" ht="14.25" customHeight="1" x14ac:dyDescent="0.35">
      <c r="A637" s="23" t="s">
        <v>671</v>
      </c>
      <c r="B637" s="23" t="s">
        <v>46</v>
      </c>
      <c r="C637" s="23">
        <v>162</v>
      </c>
      <c r="D637" s="24" t="str" cm="1">
        <f t="array" ref="D637">_xlfn.IFS(CallData[[#This Row],[Duration]]&lt;=15,"Very short",CallData[[#This Row],[Duration]]&lt;=30,"Short",CallData[[#This Row],[Duration]]&lt;=60,"Medium",CallData[[#This Row],[Duration]]&gt;60,"Long")</f>
        <v>Long</v>
      </c>
      <c r="E637" s="24" t="s">
        <v>13</v>
      </c>
      <c r="F637" s="25">
        <v>45129</v>
      </c>
      <c r="G637" s="26">
        <v>82</v>
      </c>
      <c r="H637" s="26" t="str" cm="1">
        <f t="array" ref="H637">_xlfn.IFS(CallData[[#This Row],[Purchase Amount]]&lt;=50,"Low",CallData[[#This Row],[Purchase Amount]]&lt;=100,"Medium",CallData[[#This Row],[Purchase Amount]]&lt;=150,"High",CallData[[#This Row],[Purchase Amount]]&gt;150,"Very High")</f>
        <v>Medium</v>
      </c>
      <c r="I637" s="23">
        <v>4.5999999999999996</v>
      </c>
      <c r="J637" s="23">
        <f>IF(MONTH('Call Data'!$F637)&lt;=6, YEAR('Call Data'!$F637), YEAR('Call Data'!$F637)+1)</f>
        <v>2024</v>
      </c>
      <c r="K637" s="23" t="str">
        <f>TEXT('Call Data'!$F637,"DDDD")</f>
        <v>Saturday</v>
      </c>
      <c r="L637" s="23" t="s">
        <v>25</v>
      </c>
      <c r="M637" s="23">
        <f>ROUND('Call Data'!$I637,0)</f>
        <v>5</v>
      </c>
    </row>
    <row r="638" spans="1:13" ht="14.25" customHeight="1" x14ac:dyDescent="0.35">
      <c r="A638" s="23" t="s">
        <v>672</v>
      </c>
      <c r="B638" s="23" t="s">
        <v>21</v>
      </c>
      <c r="C638" s="23">
        <v>87</v>
      </c>
      <c r="D638" s="24" t="str" cm="1">
        <f t="array" ref="D638">_xlfn.IFS(CallData[[#This Row],[Duration]]&lt;=15,"Very short",CallData[[#This Row],[Duration]]&lt;=30,"Short",CallData[[#This Row],[Duration]]&lt;=60,"Medium",CallData[[#This Row],[Duration]]&gt;60,"Long")</f>
        <v>Long</v>
      </c>
      <c r="E638" s="24" t="s">
        <v>19</v>
      </c>
      <c r="F638" s="25">
        <v>45132</v>
      </c>
      <c r="G638" s="26">
        <v>125</v>
      </c>
      <c r="H638" s="26" t="str" cm="1">
        <f t="array" ref="H638">_xlfn.IFS(CallData[[#This Row],[Purchase Amount]]&lt;=50,"Low",CallData[[#This Row],[Purchase Amount]]&lt;=100,"Medium",CallData[[#This Row],[Purchase Amount]]&lt;=150,"High",CallData[[#This Row],[Purchase Amount]]&gt;150,"Very High")</f>
        <v>High</v>
      </c>
      <c r="I638" s="23">
        <v>4.5</v>
      </c>
      <c r="J638" s="23">
        <f>IF(MONTH('Call Data'!$F638)&lt;=6, YEAR('Call Data'!$F638), YEAR('Call Data'!$F638)+1)</f>
        <v>2024</v>
      </c>
      <c r="K638" s="23" t="str">
        <f>TEXT('Call Data'!$F638,"DDDD")</f>
        <v>Tuesday</v>
      </c>
      <c r="L638" s="23" t="s">
        <v>14</v>
      </c>
      <c r="M638" s="23">
        <f>ROUND('Call Data'!$I638,0)</f>
        <v>5</v>
      </c>
    </row>
    <row r="639" spans="1:13" ht="14.25" customHeight="1" x14ac:dyDescent="0.35">
      <c r="A639" s="23" t="s">
        <v>673</v>
      </c>
      <c r="B639" s="23" t="s">
        <v>55</v>
      </c>
      <c r="C639" s="23">
        <v>10</v>
      </c>
      <c r="D639" s="24" t="str" cm="1">
        <f t="array" ref="D639">_xlfn.IFS(CallData[[#This Row],[Duration]]&lt;=15,"Very short",CallData[[#This Row],[Duration]]&lt;=30,"Short",CallData[[#This Row],[Duration]]&lt;=60,"Medium",CallData[[#This Row],[Duration]]&gt;60,"Long")</f>
        <v>Very short</v>
      </c>
      <c r="E639" s="24" t="s">
        <v>35</v>
      </c>
      <c r="F639" s="25">
        <v>45133</v>
      </c>
      <c r="G639" s="26">
        <v>72</v>
      </c>
      <c r="H639" s="26" t="str" cm="1">
        <f t="array" ref="H639">_xlfn.IFS(CallData[[#This Row],[Purchase Amount]]&lt;=50,"Low",CallData[[#This Row],[Purchase Amount]]&lt;=100,"Medium",CallData[[#This Row],[Purchase Amount]]&lt;=150,"High",CallData[[#This Row],[Purchase Amount]]&gt;150,"Very High")</f>
        <v>Medium</v>
      </c>
      <c r="I639" s="23">
        <v>3.7</v>
      </c>
      <c r="J639" s="23">
        <f>IF(MONTH('Call Data'!$F639)&lt;=6, YEAR('Call Data'!$F639), YEAR('Call Data'!$F639)+1)</f>
        <v>2024</v>
      </c>
      <c r="K639" s="23" t="str">
        <f>TEXT('Call Data'!$F639,"DDDD")</f>
        <v>Wednesday</v>
      </c>
      <c r="L639" s="23" t="s">
        <v>176</v>
      </c>
      <c r="M639" s="23">
        <f>ROUND('Call Data'!$I639,0)</f>
        <v>4</v>
      </c>
    </row>
    <row r="640" spans="1:13" ht="14.25" customHeight="1" x14ac:dyDescent="0.35">
      <c r="A640" s="23" t="s">
        <v>674</v>
      </c>
      <c r="B640" s="23" t="s">
        <v>16</v>
      </c>
      <c r="C640" s="23">
        <v>138</v>
      </c>
      <c r="D640" s="24" t="str" cm="1">
        <f t="array" ref="D640">_xlfn.IFS(CallData[[#This Row],[Duration]]&lt;=15,"Very short",CallData[[#This Row],[Duration]]&lt;=30,"Short",CallData[[#This Row],[Duration]]&lt;=60,"Medium",CallData[[#This Row],[Duration]]&gt;60,"Long")</f>
        <v>Long</v>
      </c>
      <c r="E640" s="24" t="s">
        <v>35</v>
      </c>
      <c r="F640" s="25">
        <v>45133</v>
      </c>
      <c r="G640" s="26">
        <v>195</v>
      </c>
      <c r="H640" s="26" t="str" cm="1">
        <f t="array" ref="H640">_xlfn.IFS(CallData[[#This Row],[Purchase Amount]]&lt;=50,"Low",CallData[[#This Row],[Purchase Amount]]&lt;=100,"Medium",CallData[[#This Row],[Purchase Amount]]&lt;=150,"High",CallData[[#This Row],[Purchase Amount]]&gt;150,"Very High")</f>
        <v>Very High</v>
      </c>
      <c r="I640" s="23">
        <v>4.0999999999999996</v>
      </c>
      <c r="J640" s="23">
        <f>IF(MONTH('Call Data'!$F640)&lt;=6, YEAR('Call Data'!$F640), YEAR('Call Data'!$F640)+1)</f>
        <v>2024</v>
      </c>
      <c r="K640" s="23" t="str">
        <f>TEXT('Call Data'!$F640,"DDDD")</f>
        <v>Wednesday</v>
      </c>
      <c r="L640" s="23" t="s">
        <v>25</v>
      </c>
      <c r="M640" s="23">
        <f>ROUND('Call Data'!$I640,0)</f>
        <v>4</v>
      </c>
    </row>
    <row r="641" spans="1:13" ht="14.25" customHeight="1" x14ac:dyDescent="0.35">
      <c r="A641" s="23" t="s">
        <v>675</v>
      </c>
      <c r="B641" s="23" t="s">
        <v>46</v>
      </c>
      <c r="C641" s="23">
        <v>31</v>
      </c>
      <c r="D641" s="24" t="str" cm="1">
        <f t="array" ref="D641">_xlfn.IFS(CallData[[#This Row],[Duration]]&lt;=15,"Very short",CallData[[#This Row],[Duration]]&lt;=30,"Short",CallData[[#This Row],[Duration]]&lt;=60,"Medium",CallData[[#This Row],[Duration]]&gt;60,"Long")</f>
        <v>Medium</v>
      </c>
      <c r="E641" s="24" t="s">
        <v>35</v>
      </c>
      <c r="F641" s="25">
        <v>45134</v>
      </c>
      <c r="G641" s="26">
        <v>160</v>
      </c>
      <c r="H641" s="26" t="str" cm="1">
        <f t="array" ref="H641">_xlfn.IFS(CallData[[#This Row],[Purchase Amount]]&lt;=50,"Low",CallData[[#This Row],[Purchase Amount]]&lt;=100,"Medium",CallData[[#This Row],[Purchase Amount]]&lt;=150,"High",CallData[[#This Row],[Purchase Amount]]&gt;150,"Very High")</f>
        <v>Very High</v>
      </c>
      <c r="I641" s="23">
        <v>3.4</v>
      </c>
      <c r="J641" s="23">
        <f>IF(MONTH('Call Data'!$F641)&lt;=6, YEAR('Call Data'!$F641), YEAR('Call Data'!$F641)+1)</f>
        <v>2024</v>
      </c>
      <c r="K641" s="23" t="str">
        <f>TEXT('Call Data'!$F641,"DDDD")</f>
        <v>Thursday</v>
      </c>
      <c r="L641" s="23" t="s">
        <v>27</v>
      </c>
      <c r="M641" s="23">
        <f>ROUND('Call Data'!$I641,0)</f>
        <v>3</v>
      </c>
    </row>
    <row r="642" spans="1:13" ht="14.25" customHeight="1" x14ac:dyDescent="0.35">
      <c r="A642" s="23" t="s">
        <v>676</v>
      </c>
      <c r="B642" s="23" t="s">
        <v>58</v>
      </c>
      <c r="C642" s="23">
        <v>75</v>
      </c>
      <c r="D642" s="24" t="str" cm="1">
        <f t="array" ref="D642">_xlfn.IFS(CallData[[#This Row],[Duration]]&lt;=15,"Very short",CallData[[#This Row],[Duration]]&lt;=30,"Short",CallData[[#This Row],[Duration]]&lt;=60,"Medium",CallData[[#This Row],[Duration]]&gt;60,"Long")</f>
        <v>Long</v>
      </c>
      <c r="E642" s="24" t="s">
        <v>13</v>
      </c>
      <c r="F642" s="25">
        <v>45134</v>
      </c>
      <c r="G642" s="26">
        <v>78</v>
      </c>
      <c r="H642" s="26" t="str" cm="1">
        <f t="array" ref="H642">_xlfn.IFS(CallData[[#This Row],[Purchase Amount]]&lt;=50,"Low",CallData[[#This Row],[Purchase Amount]]&lt;=100,"Medium",CallData[[#This Row],[Purchase Amount]]&lt;=150,"High",CallData[[#This Row],[Purchase Amount]]&gt;150,"Very High")</f>
        <v>Medium</v>
      </c>
      <c r="I642" s="23">
        <v>3.3</v>
      </c>
      <c r="J642" s="23">
        <f>IF(MONTH('Call Data'!$F642)&lt;=6, YEAR('Call Data'!$F642), YEAR('Call Data'!$F642)+1)</f>
        <v>2024</v>
      </c>
      <c r="K642" s="23" t="str">
        <f>TEXT('Call Data'!$F642,"DDDD")</f>
        <v>Thursday</v>
      </c>
      <c r="L642" s="23" t="s">
        <v>14</v>
      </c>
      <c r="M642" s="23">
        <f>ROUND('Call Data'!$I642,0)</f>
        <v>3</v>
      </c>
    </row>
    <row r="643" spans="1:13" ht="14.25" customHeight="1" x14ac:dyDescent="0.35">
      <c r="A643" s="23" t="s">
        <v>677</v>
      </c>
      <c r="B643" s="23" t="s">
        <v>12</v>
      </c>
      <c r="C643" s="23">
        <v>65</v>
      </c>
      <c r="D643" s="24" t="str" cm="1">
        <f t="array" ref="D643">_xlfn.IFS(CallData[[#This Row],[Duration]]&lt;=15,"Very short",CallData[[#This Row],[Duration]]&lt;=30,"Short",CallData[[#This Row],[Duration]]&lt;=60,"Medium",CallData[[#This Row],[Duration]]&gt;60,"Long")</f>
        <v>Long</v>
      </c>
      <c r="E643" s="24" t="s">
        <v>13</v>
      </c>
      <c r="F643" s="25">
        <v>45135</v>
      </c>
      <c r="G643" s="26">
        <v>70</v>
      </c>
      <c r="H643" s="26" t="str" cm="1">
        <f t="array" ref="H643">_xlfn.IFS(CallData[[#This Row],[Purchase Amount]]&lt;=50,"Low",CallData[[#This Row],[Purchase Amount]]&lt;=100,"Medium",CallData[[#This Row],[Purchase Amount]]&lt;=150,"High",CallData[[#This Row],[Purchase Amount]]&gt;150,"Very High")</f>
        <v>Medium</v>
      </c>
      <c r="I643" s="23">
        <v>4.4000000000000004</v>
      </c>
      <c r="J643" s="23">
        <f>IF(MONTH('Call Data'!$F643)&lt;=6, YEAR('Call Data'!$F643), YEAR('Call Data'!$F643)+1)</f>
        <v>2024</v>
      </c>
      <c r="K643" s="23" t="str">
        <f>TEXT('Call Data'!$F643,"DDDD")</f>
        <v>Friday</v>
      </c>
      <c r="L643" s="23" t="s">
        <v>14</v>
      </c>
      <c r="M643" s="23">
        <f>ROUND('Call Data'!$I643,0)</f>
        <v>4</v>
      </c>
    </row>
    <row r="644" spans="1:13" ht="14.25" customHeight="1" x14ac:dyDescent="0.35">
      <c r="A644" s="23" t="s">
        <v>678</v>
      </c>
      <c r="B644" s="23" t="s">
        <v>18</v>
      </c>
      <c r="C644" s="23">
        <v>106</v>
      </c>
      <c r="D644" s="24" t="str" cm="1">
        <f t="array" ref="D644">_xlfn.IFS(CallData[[#This Row],[Duration]]&lt;=15,"Very short",CallData[[#This Row],[Duration]]&lt;=30,"Short",CallData[[#This Row],[Duration]]&lt;=60,"Medium",CallData[[#This Row],[Duration]]&gt;60,"Long")</f>
        <v>Long</v>
      </c>
      <c r="E644" s="24" t="s">
        <v>31</v>
      </c>
      <c r="F644" s="25">
        <v>45135</v>
      </c>
      <c r="G644" s="26">
        <v>105</v>
      </c>
      <c r="H644" s="26" t="str" cm="1">
        <f t="array" ref="H644">_xlfn.IFS(CallData[[#This Row],[Purchase Amount]]&lt;=50,"Low",CallData[[#This Row],[Purchase Amount]]&lt;=100,"Medium",CallData[[#This Row],[Purchase Amount]]&lt;=150,"High",CallData[[#This Row],[Purchase Amount]]&gt;150,"Very High")</f>
        <v>High</v>
      </c>
      <c r="I644" s="23">
        <v>4.2</v>
      </c>
      <c r="J644" s="23">
        <f>IF(MONTH('Call Data'!$F644)&lt;=6, YEAR('Call Data'!$F644), YEAR('Call Data'!$F644)+1)</f>
        <v>2024</v>
      </c>
      <c r="K644" s="23" t="str">
        <f>TEXT('Call Data'!$F644,"DDDD")</f>
        <v>Friday</v>
      </c>
      <c r="L644" s="23" t="s">
        <v>14</v>
      </c>
      <c r="M644" s="23">
        <f>ROUND('Call Data'!$I644,0)</f>
        <v>4</v>
      </c>
    </row>
    <row r="645" spans="1:13" ht="14.25" customHeight="1" x14ac:dyDescent="0.35">
      <c r="A645" s="23" t="s">
        <v>679</v>
      </c>
      <c r="B645" s="23" t="s">
        <v>12</v>
      </c>
      <c r="C645" s="23">
        <v>107</v>
      </c>
      <c r="D645" s="24" t="str" cm="1">
        <f t="array" ref="D645">_xlfn.IFS(CallData[[#This Row],[Duration]]&lt;=15,"Very short",CallData[[#This Row],[Duration]]&lt;=30,"Short",CallData[[#This Row],[Duration]]&lt;=60,"Medium",CallData[[#This Row],[Duration]]&gt;60,"Long")</f>
        <v>Long</v>
      </c>
      <c r="E645" s="24" t="s">
        <v>31</v>
      </c>
      <c r="F645" s="25">
        <v>45136</v>
      </c>
      <c r="G645" s="26">
        <v>78</v>
      </c>
      <c r="H645" s="26" t="str" cm="1">
        <f t="array" ref="H645">_xlfn.IFS(CallData[[#This Row],[Purchase Amount]]&lt;=50,"Low",CallData[[#This Row],[Purchase Amount]]&lt;=100,"Medium",CallData[[#This Row],[Purchase Amount]]&lt;=150,"High",CallData[[#This Row],[Purchase Amount]]&gt;150,"Very High")</f>
        <v>Medium</v>
      </c>
      <c r="I645" s="23">
        <v>3.4</v>
      </c>
      <c r="J645" s="23">
        <f>IF(MONTH('Call Data'!$F645)&lt;=6, YEAR('Call Data'!$F645), YEAR('Call Data'!$F645)+1)</f>
        <v>2024</v>
      </c>
      <c r="K645" s="23" t="str">
        <f>TEXT('Call Data'!$F645,"DDDD")</f>
        <v>Saturday</v>
      </c>
      <c r="L645" s="23" t="s">
        <v>14</v>
      </c>
      <c r="M645" s="23">
        <f>ROUND('Call Data'!$I645,0)</f>
        <v>3</v>
      </c>
    </row>
    <row r="646" spans="1:13" ht="14.25" customHeight="1" x14ac:dyDescent="0.35">
      <c r="A646" s="23" t="s">
        <v>680</v>
      </c>
      <c r="B646" s="23" t="s">
        <v>68</v>
      </c>
      <c r="C646" s="23">
        <v>78</v>
      </c>
      <c r="D646" s="24" t="str" cm="1">
        <f t="array" ref="D646">_xlfn.IFS(CallData[[#This Row],[Duration]]&lt;=15,"Very short",CallData[[#This Row],[Duration]]&lt;=30,"Short",CallData[[#This Row],[Duration]]&lt;=60,"Medium",CallData[[#This Row],[Duration]]&gt;60,"Long")</f>
        <v>Long</v>
      </c>
      <c r="E646" s="24" t="s">
        <v>31</v>
      </c>
      <c r="F646" s="25">
        <v>45138</v>
      </c>
      <c r="G646" s="26">
        <v>205</v>
      </c>
      <c r="H646" s="26" t="str" cm="1">
        <f t="array" ref="H646">_xlfn.IFS(CallData[[#This Row],[Purchase Amount]]&lt;=50,"Low",CallData[[#This Row],[Purchase Amount]]&lt;=100,"Medium",CallData[[#This Row],[Purchase Amount]]&lt;=150,"High",CallData[[#This Row],[Purchase Amount]]&gt;150,"Very High")</f>
        <v>Very High</v>
      </c>
      <c r="I646" s="23">
        <v>4.4000000000000004</v>
      </c>
      <c r="J646" s="23">
        <f>IF(MONTH('Call Data'!$F646)&lt;=6, YEAR('Call Data'!$F646), YEAR('Call Data'!$F646)+1)</f>
        <v>2024</v>
      </c>
      <c r="K646" s="23" t="str">
        <f>TEXT('Call Data'!$F646,"DDDD")</f>
        <v>Monday</v>
      </c>
      <c r="L646" s="23" t="s">
        <v>14</v>
      </c>
      <c r="M646" s="23">
        <f>ROUND('Call Data'!$I646,0)</f>
        <v>4</v>
      </c>
    </row>
    <row r="647" spans="1:13" ht="14.25" customHeight="1" x14ac:dyDescent="0.35">
      <c r="A647" s="23" t="s">
        <v>681</v>
      </c>
      <c r="B647" s="23" t="s">
        <v>40</v>
      </c>
      <c r="C647" s="23">
        <v>122</v>
      </c>
      <c r="D647" s="24" t="str" cm="1">
        <f t="array" ref="D647">_xlfn.IFS(CallData[[#This Row],[Duration]]&lt;=15,"Very short",CallData[[#This Row],[Duration]]&lt;=30,"Short",CallData[[#This Row],[Duration]]&lt;=60,"Medium",CallData[[#This Row],[Duration]]&gt;60,"Long")</f>
        <v>Long</v>
      </c>
      <c r="E647" s="24" t="s">
        <v>31</v>
      </c>
      <c r="F647" s="25">
        <v>45138</v>
      </c>
      <c r="G647" s="26">
        <v>78</v>
      </c>
      <c r="H647" s="26" t="str" cm="1">
        <f t="array" ref="H647">_xlfn.IFS(CallData[[#This Row],[Purchase Amount]]&lt;=50,"Low",CallData[[#This Row],[Purchase Amount]]&lt;=100,"Medium",CallData[[#This Row],[Purchase Amount]]&lt;=150,"High",CallData[[#This Row],[Purchase Amount]]&gt;150,"Very High")</f>
        <v>Medium</v>
      </c>
      <c r="I647" s="23">
        <v>2.7</v>
      </c>
      <c r="J647" s="23">
        <f>IF(MONTH('Call Data'!$F647)&lt;=6, YEAR('Call Data'!$F647), YEAR('Call Data'!$F647)+1)</f>
        <v>2024</v>
      </c>
      <c r="K647" s="23" t="str">
        <f>TEXT('Call Data'!$F647,"DDDD")</f>
        <v>Monday</v>
      </c>
      <c r="L647" s="23" t="s">
        <v>25</v>
      </c>
      <c r="M647" s="23">
        <f>ROUND('Call Data'!$I647,0)</f>
        <v>3</v>
      </c>
    </row>
    <row r="648" spans="1:13" ht="14.25" customHeight="1" x14ac:dyDescent="0.35">
      <c r="A648" s="23" t="s">
        <v>682</v>
      </c>
      <c r="B648" s="23" t="s">
        <v>16</v>
      </c>
      <c r="C648" s="23">
        <v>58</v>
      </c>
      <c r="D648" s="24" t="str" cm="1">
        <f t="array" ref="D648">_xlfn.IFS(CallData[[#This Row],[Duration]]&lt;=15,"Very short",CallData[[#This Row],[Duration]]&lt;=30,"Short",CallData[[#This Row],[Duration]]&lt;=60,"Medium",CallData[[#This Row],[Duration]]&gt;60,"Long")</f>
        <v>Medium</v>
      </c>
      <c r="E648" s="24" t="s">
        <v>35</v>
      </c>
      <c r="F648" s="25">
        <v>45138</v>
      </c>
      <c r="G648" s="26">
        <v>38</v>
      </c>
      <c r="H648" s="26" t="str" cm="1">
        <f t="array" ref="H648">_xlfn.IFS(CallData[[#This Row],[Purchase Amount]]&lt;=50,"Low",CallData[[#This Row],[Purchase Amount]]&lt;=100,"Medium",CallData[[#This Row],[Purchase Amount]]&lt;=150,"High",CallData[[#This Row],[Purchase Amount]]&gt;150,"Very High")</f>
        <v>Low</v>
      </c>
      <c r="I648" s="23">
        <v>4.5</v>
      </c>
      <c r="J648" s="23">
        <f>IF(MONTH('Call Data'!$F648)&lt;=6, YEAR('Call Data'!$F648), YEAR('Call Data'!$F648)+1)</f>
        <v>2024</v>
      </c>
      <c r="K648" s="23" t="str">
        <f>TEXT('Call Data'!$F648,"DDDD")</f>
        <v>Monday</v>
      </c>
      <c r="L648" s="23" t="s">
        <v>27</v>
      </c>
      <c r="M648" s="23">
        <f>ROUND('Call Data'!$I648,0)</f>
        <v>5</v>
      </c>
    </row>
    <row r="649" spans="1:13" ht="14.25" customHeight="1" x14ac:dyDescent="0.35">
      <c r="A649" s="23" t="s">
        <v>683</v>
      </c>
      <c r="B649" s="23" t="s">
        <v>68</v>
      </c>
      <c r="C649" s="23">
        <v>33</v>
      </c>
      <c r="D649" s="24" t="str" cm="1">
        <f t="array" ref="D649">_xlfn.IFS(CallData[[#This Row],[Duration]]&lt;=15,"Very short",CallData[[#This Row],[Duration]]&lt;=30,"Short",CallData[[#This Row],[Duration]]&lt;=60,"Medium",CallData[[#This Row],[Duration]]&gt;60,"Long")</f>
        <v>Medium</v>
      </c>
      <c r="E649" s="24" t="s">
        <v>24</v>
      </c>
      <c r="F649" s="25">
        <v>45138</v>
      </c>
      <c r="G649" s="26">
        <v>92</v>
      </c>
      <c r="H649" s="26" t="str" cm="1">
        <f t="array" ref="H649">_xlfn.IFS(CallData[[#This Row],[Purchase Amount]]&lt;=50,"Low",CallData[[#This Row],[Purchase Amount]]&lt;=100,"Medium",CallData[[#This Row],[Purchase Amount]]&lt;=150,"High",CallData[[#This Row],[Purchase Amount]]&gt;150,"Very High")</f>
        <v>Medium</v>
      </c>
      <c r="I649" s="23">
        <v>1.7</v>
      </c>
      <c r="J649" s="23">
        <f>IF(MONTH('Call Data'!$F649)&lt;=6, YEAR('Call Data'!$F649), YEAR('Call Data'!$F649)+1)</f>
        <v>2024</v>
      </c>
      <c r="K649" s="23" t="str">
        <f>TEXT('Call Data'!$F649,"DDDD")</f>
        <v>Monday</v>
      </c>
      <c r="L649" s="23" t="s">
        <v>27</v>
      </c>
      <c r="M649" s="23">
        <f>ROUND('Call Data'!$I649,0)</f>
        <v>2</v>
      </c>
    </row>
    <row r="650" spans="1:13" ht="14.25" customHeight="1" x14ac:dyDescent="0.35">
      <c r="A650" s="23" t="s">
        <v>684</v>
      </c>
      <c r="B650" s="23" t="s">
        <v>88</v>
      </c>
      <c r="C650" s="23">
        <v>164</v>
      </c>
      <c r="D650" s="24" t="str" cm="1">
        <f t="array" ref="D650">_xlfn.IFS(CallData[[#This Row],[Duration]]&lt;=15,"Very short",CallData[[#This Row],[Duration]]&lt;=30,"Short",CallData[[#This Row],[Duration]]&lt;=60,"Medium",CallData[[#This Row],[Duration]]&gt;60,"Long")</f>
        <v>Long</v>
      </c>
      <c r="E650" s="24" t="s">
        <v>13</v>
      </c>
      <c r="F650" s="25">
        <v>45138</v>
      </c>
      <c r="G650" s="26">
        <v>36</v>
      </c>
      <c r="H650" s="26" t="str" cm="1">
        <f t="array" ref="H650">_xlfn.IFS(CallData[[#This Row],[Purchase Amount]]&lt;=50,"Low",CallData[[#This Row],[Purchase Amount]]&lt;=100,"Medium",CallData[[#This Row],[Purchase Amount]]&lt;=150,"High",CallData[[#This Row],[Purchase Amount]]&gt;150,"Very High")</f>
        <v>Low</v>
      </c>
      <c r="I650" s="23">
        <v>4.7</v>
      </c>
      <c r="J650" s="23">
        <f>IF(MONTH('Call Data'!$F650)&lt;=6, YEAR('Call Data'!$F650), YEAR('Call Data'!$F650)+1)</f>
        <v>2024</v>
      </c>
      <c r="K650" s="23" t="str">
        <f>TEXT('Call Data'!$F650,"DDDD")</f>
        <v>Monday</v>
      </c>
      <c r="L650" s="23" t="s">
        <v>25</v>
      </c>
      <c r="M650" s="23">
        <f>ROUND('Call Data'!$I650,0)</f>
        <v>5</v>
      </c>
    </row>
    <row r="651" spans="1:13" ht="14.25" customHeight="1" x14ac:dyDescent="0.35">
      <c r="A651" s="23" t="s">
        <v>685</v>
      </c>
      <c r="B651" s="23" t="s">
        <v>58</v>
      </c>
      <c r="C651" s="23">
        <v>163</v>
      </c>
      <c r="D651" s="24" t="str" cm="1">
        <f t="array" ref="D651">_xlfn.IFS(CallData[[#This Row],[Duration]]&lt;=15,"Very short",CallData[[#This Row],[Duration]]&lt;=30,"Short",CallData[[#This Row],[Duration]]&lt;=60,"Medium",CallData[[#This Row],[Duration]]&gt;60,"Long")</f>
        <v>Long</v>
      </c>
      <c r="E651" s="24" t="s">
        <v>19</v>
      </c>
      <c r="F651" s="25">
        <v>45138</v>
      </c>
      <c r="G651" s="26">
        <v>76</v>
      </c>
      <c r="H651" s="26" t="str" cm="1">
        <f t="array" ref="H651">_xlfn.IFS(CallData[[#This Row],[Purchase Amount]]&lt;=50,"Low",CallData[[#This Row],[Purchase Amount]]&lt;=100,"Medium",CallData[[#This Row],[Purchase Amount]]&lt;=150,"High",CallData[[#This Row],[Purchase Amount]]&gt;150,"Very High")</f>
        <v>Medium</v>
      </c>
      <c r="I651" s="23">
        <v>4.4000000000000004</v>
      </c>
      <c r="J651" s="23">
        <f>IF(MONTH('Call Data'!$F651)&lt;=6, YEAR('Call Data'!$F651), YEAR('Call Data'!$F651)+1)</f>
        <v>2024</v>
      </c>
      <c r="K651" s="23" t="str">
        <f>TEXT('Call Data'!$F651,"DDDD")</f>
        <v>Monday</v>
      </c>
      <c r="L651" s="23" t="s">
        <v>25</v>
      </c>
      <c r="M651" s="23">
        <f>ROUND('Call Data'!$I651,0)</f>
        <v>4</v>
      </c>
    </row>
    <row r="652" spans="1:13" ht="14.25" customHeight="1" x14ac:dyDescent="0.35">
      <c r="A652" s="23" t="s">
        <v>686</v>
      </c>
      <c r="B652" s="23" t="s">
        <v>29</v>
      </c>
      <c r="C652" s="23">
        <v>71</v>
      </c>
      <c r="D652" s="24" t="str" cm="1">
        <f t="array" ref="D652">_xlfn.IFS(CallData[[#This Row],[Duration]]&lt;=15,"Very short",CallData[[#This Row],[Duration]]&lt;=30,"Short",CallData[[#This Row],[Duration]]&lt;=60,"Medium",CallData[[#This Row],[Duration]]&gt;60,"Long")</f>
        <v>Long</v>
      </c>
      <c r="E652" s="24" t="s">
        <v>13</v>
      </c>
      <c r="F652" s="25">
        <v>45140</v>
      </c>
      <c r="G652" s="26">
        <v>170</v>
      </c>
      <c r="H652" s="26" t="str" cm="1">
        <f t="array" ref="H652">_xlfn.IFS(CallData[[#This Row],[Purchase Amount]]&lt;=50,"Low",CallData[[#This Row],[Purchase Amount]]&lt;=100,"Medium",CallData[[#This Row],[Purchase Amount]]&lt;=150,"High",CallData[[#This Row],[Purchase Amount]]&gt;150,"Very High")</f>
        <v>Very High</v>
      </c>
      <c r="I652" s="23">
        <v>3.5</v>
      </c>
      <c r="J652" s="23">
        <f>IF(MONTH('Call Data'!$F652)&lt;=6, YEAR('Call Data'!$F652), YEAR('Call Data'!$F652)+1)</f>
        <v>2024</v>
      </c>
      <c r="K652" s="23" t="str">
        <f>TEXT('Call Data'!$F652,"DDDD")</f>
        <v>Wednesday</v>
      </c>
      <c r="L652" s="23" t="s">
        <v>14</v>
      </c>
      <c r="M652" s="23">
        <f>ROUND('Call Data'!$I652,0)</f>
        <v>4</v>
      </c>
    </row>
    <row r="653" spans="1:13" ht="14.25" customHeight="1" x14ac:dyDescent="0.35">
      <c r="A653" s="23" t="s">
        <v>687</v>
      </c>
      <c r="B653" s="23" t="s">
        <v>68</v>
      </c>
      <c r="C653" s="23">
        <v>103</v>
      </c>
      <c r="D653" s="24" t="str" cm="1">
        <f t="array" ref="D653">_xlfn.IFS(CallData[[#This Row],[Duration]]&lt;=15,"Very short",CallData[[#This Row],[Duration]]&lt;=30,"Short",CallData[[#This Row],[Duration]]&lt;=60,"Medium",CallData[[#This Row],[Duration]]&gt;60,"Long")</f>
        <v>Long</v>
      </c>
      <c r="E653" s="24" t="s">
        <v>35</v>
      </c>
      <c r="F653" s="25">
        <v>45141</v>
      </c>
      <c r="G653" s="26">
        <v>117</v>
      </c>
      <c r="H653" s="26" t="str" cm="1">
        <f t="array" ref="H653">_xlfn.IFS(CallData[[#This Row],[Purchase Amount]]&lt;=50,"Low",CallData[[#This Row],[Purchase Amount]]&lt;=100,"Medium",CallData[[#This Row],[Purchase Amount]]&lt;=150,"High",CallData[[#This Row],[Purchase Amount]]&gt;150,"Very High")</f>
        <v>High</v>
      </c>
      <c r="I653" s="23">
        <v>4.7</v>
      </c>
      <c r="J653" s="23">
        <f>IF(MONTH('Call Data'!$F653)&lt;=6, YEAR('Call Data'!$F653), YEAR('Call Data'!$F653)+1)</f>
        <v>2024</v>
      </c>
      <c r="K653" s="23" t="str">
        <f>TEXT('Call Data'!$F653,"DDDD")</f>
        <v>Thursday</v>
      </c>
      <c r="L653" s="23" t="s">
        <v>14</v>
      </c>
      <c r="M653" s="23">
        <f>ROUND('Call Data'!$I653,0)</f>
        <v>5</v>
      </c>
    </row>
    <row r="654" spans="1:13" ht="14.25" customHeight="1" x14ac:dyDescent="0.35">
      <c r="A654" s="23" t="s">
        <v>688</v>
      </c>
      <c r="B654" s="23" t="s">
        <v>50</v>
      </c>
      <c r="C654" s="23">
        <v>69</v>
      </c>
      <c r="D654" s="24" t="str" cm="1">
        <f t="array" ref="D654">_xlfn.IFS(CallData[[#This Row],[Duration]]&lt;=15,"Very short",CallData[[#This Row],[Duration]]&lt;=30,"Short",CallData[[#This Row],[Duration]]&lt;=60,"Medium",CallData[[#This Row],[Duration]]&gt;60,"Long")</f>
        <v>Long</v>
      </c>
      <c r="E654" s="24" t="s">
        <v>19</v>
      </c>
      <c r="F654" s="25">
        <v>45141</v>
      </c>
      <c r="G654" s="26">
        <v>20</v>
      </c>
      <c r="H654" s="26" t="str" cm="1">
        <f t="array" ref="H654">_xlfn.IFS(CallData[[#This Row],[Purchase Amount]]&lt;=50,"Low",CallData[[#This Row],[Purchase Amount]]&lt;=100,"Medium",CallData[[#This Row],[Purchase Amount]]&lt;=150,"High",CallData[[#This Row],[Purchase Amount]]&gt;150,"Very High")</f>
        <v>Low</v>
      </c>
      <c r="I654" s="23">
        <v>4.3</v>
      </c>
      <c r="J654" s="23">
        <f>IF(MONTH('Call Data'!$F654)&lt;=6, YEAR('Call Data'!$F654), YEAR('Call Data'!$F654)+1)</f>
        <v>2024</v>
      </c>
      <c r="K654" s="23" t="str">
        <f>TEXT('Call Data'!$F654,"DDDD")</f>
        <v>Thursday</v>
      </c>
      <c r="L654" s="23" t="s">
        <v>14</v>
      </c>
      <c r="M654" s="23">
        <f>ROUND('Call Data'!$I654,0)</f>
        <v>4</v>
      </c>
    </row>
    <row r="655" spans="1:13" ht="14.25" customHeight="1" x14ac:dyDescent="0.35">
      <c r="A655" s="23" t="s">
        <v>689</v>
      </c>
      <c r="B655" s="23" t="s">
        <v>58</v>
      </c>
      <c r="C655" s="23">
        <v>111</v>
      </c>
      <c r="D655" s="24" t="str" cm="1">
        <f t="array" ref="D655">_xlfn.IFS(CallData[[#This Row],[Duration]]&lt;=15,"Very short",CallData[[#This Row],[Duration]]&lt;=30,"Short",CallData[[#This Row],[Duration]]&lt;=60,"Medium",CallData[[#This Row],[Duration]]&gt;60,"Long")</f>
        <v>Long</v>
      </c>
      <c r="E655" s="24" t="s">
        <v>35</v>
      </c>
      <c r="F655" s="25">
        <v>45141</v>
      </c>
      <c r="G655" s="26">
        <v>99</v>
      </c>
      <c r="H655" s="26" t="str" cm="1">
        <f t="array" ref="H655">_xlfn.IFS(CallData[[#This Row],[Purchase Amount]]&lt;=50,"Low",CallData[[#This Row],[Purchase Amount]]&lt;=100,"Medium",CallData[[#This Row],[Purchase Amount]]&lt;=150,"High",CallData[[#This Row],[Purchase Amount]]&gt;150,"Very High")</f>
        <v>Medium</v>
      </c>
      <c r="I655" s="23">
        <v>4.0999999999999996</v>
      </c>
      <c r="J655" s="23">
        <f>IF(MONTH('Call Data'!$F655)&lt;=6, YEAR('Call Data'!$F655), YEAR('Call Data'!$F655)+1)</f>
        <v>2024</v>
      </c>
      <c r="K655" s="23" t="str">
        <f>TEXT('Call Data'!$F655,"DDDD")</f>
        <v>Thursday</v>
      </c>
      <c r="L655" s="23" t="s">
        <v>14</v>
      </c>
      <c r="M655" s="23">
        <f>ROUND('Call Data'!$I655,0)</f>
        <v>4</v>
      </c>
    </row>
    <row r="656" spans="1:13" ht="14.25" customHeight="1" x14ac:dyDescent="0.35">
      <c r="A656" s="23" t="s">
        <v>690</v>
      </c>
      <c r="B656" s="23" t="s">
        <v>34</v>
      </c>
      <c r="C656" s="23">
        <v>97</v>
      </c>
      <c r="D656" s="24" t="str" cm="1">
        <f t="array" ref="D656">_xlfn.IFS(CallData[[#This Row],[Duration]]&lt;=15,"Very short",CallData[[#This Row],[Duration]]&lt;=30,"Short",CallData[[#This Row],[Duration]]&lt;=60,"Medium",CallData[[#This Row],[Duration]]&gt;60,"Long")</f>
        <v>Long</v>
      </c>
      <c r="E656" s="24" t="s">
        <v>19</v>
      </c>
      <c r="F656" s="25">
        <v>45142</v>
      </c>
      <c r="G656" s="26">
        <v>105</v>
      </c>
      <c r="H656" s="26" t="str" cm="1">
        <f t="array" ref="H656">_xlfn.IFS(CallData[[#This Row],[Purchase Amount]]&lt;=50,"Low",CallData[[#This Row],[Purchase Amount]]&lt;=100,"Medium",CallData[[#This Row],[Purchase Amount]]&lt;=150,"High",CallData[[#This Row],[Purchase Amount]]&gt;150,"Very High")</f>
        <v>High</v>
      </c>
      <c r="I656" s="23">
        <v>2.9</v>
      </c>
      <c r="J656" s="23">
        <f>IF(MONTH('Call Data'!$F656)&lt;=6, YEAR('Call Data'!$F656), YEAR('Call Data'!$F656)+1)</f>
        <v>2024</v>
      </c>
      <c r="K656" s="23" t="str">
        <f>TEXT('Call Data'!$F656,"DDDD")</f>
        <v>Friday</v>
      </c>
      <c r="L656" s="23" t="s">
        <v>14</v>
      </c>
      <c r="M656" s="23">
        <f>ROUND('Call Data'!$I656,0)</f>
        <v>3</v>
      </c>
    </row>
    <row r="657" spans="1:13" ht="14.25" customHeight="1" x14ac:dyDescent="0.35">
      <c r="A657" s="23" t="s">
        <v>691</v>
      </c>
      <c r="B657" s="23" t="s">
        <v>38</v>
      </c>
      <c r="C657" s="23">
        <v>144</v>
      </c>
      <c r="D657" s="24" t="str" cm="1">
        <f t="array" ref="D657">_xlfn.IFS(CallData[[#This Row],[Duration]]&lt;=15,"Very short",CallData[[#This Row],[Duration]]&lt;=30,"Short",CallData[[#This Row],[Duration]]&lt;=60,"Medium",CallData[[#This Row],[Duration]]&gt;60,"Long")</f>
        <v>Long</v>
      </c>
      <c r="E657" s="24" t="s">
        <v>31</v>
      </c>
      <c r="F657" s="25">
        <v>45142</v>
      </c>
      <c r="G657" s="26">
        <v>195</v>
      </c>
      <c r="H657" s="26" t="str" cm="1">
        <f t="array" ref="H657">_xlfn.IFS(CallData[[#This Row],[Purchase Amount]]&lt;=50,"Low",CallData[[#This Row],[Purchase Amount]]&lt;=100,"Medium",CallData[[#This Row],[Purchase Amount]]&lt;=150,"High",CallData[[#This Row],[Purchase Amount]]&gt;150,"Very High")</f>
        <v>Very High</v>
      </c>
      <c r="I657" s="23">
        <v>3.4</v>
      </c>
      <c r="J657" s="23">
        <f>IF(MONTH('Call Data'!$F657)&lt;=6, YEAR('Call Data'!$F657), YEAR('Call Data'!$F657)+1)</f>
        <v>2024</v>
      </c>
      <c r="K657" s="23" t="str">
        <f>TEXT('Call Data'!$F657,"DDDD")</f>
        <v>Friday</v>
      </c>
      <c r="L657" s="23" t="s">
        <v>25</v>
      </c>
      <c r="M657" s="23">
        <f>ROUND('Call Data'!$I657,0)</f>
        <v>3</v>
      </c>
    </row>
    <row r="658" spans="1:13" ht="14.25" customHeight="1" x14ac:dyDescent="0.35">
      <c r="A658" s="23" t="s">
        <v>692</v>
      </c>
      <c r="B658" s="23" t="s">
        <v>18</v>
      </c>
      <c r="C658" s="23">
        <v>56</v>
      </c>
      <c r="D658" s="24" t="str" cm="1">
        <f t="array" ref="D658">_xlfn.IFS(CallData[[#This Row],[Duration]]&lt;=15,"Very short",CallData[[#This Row],[Duration]]&lt;=30,"Short",CallData[[#This Row],[Duration]]&lt;=60,"Medium",CallData[[#This Row],[Duration]]&gt;60,"Long")</f>
        <v>Medium</v>
      </c>
      <c r="E658" s="24" t="s">
        <v>19</v>
      </c>
      <c r="F658" s="25">
        <v>45143</v>
      </c>
      <c r="G658" s="26">
        <v>152</v>
      </c>
      <c r="H658" s="26" t="str" cm="1">
        <f t="array" ref="H658">_xlfn.IFS(CallData[[#This Row],[Purchase Amount]]&lt;=50,"Low",CallData[[#This Row],[Purchase Amount]]&lt;=100,"Medium",CallData[[#This Row],[Purchase Amount]]&lt;=150,"High",CallData[[#This Row],[Purchase Amount]]&gt;150,"Very High")</f>
        <v>Very High</v>
      </c>
      <c r="I658" s="23">
        <v>4.5999999999999996</v>
      </c>
      <c r="J658" s="23">
        <f>IF(MONTH('Call Data'!$F658)&lt;=6, YEAR('Call Data'!$F658), YEAR('Call Data'!$F658)+1)</f>
        <v>2024</v>
      </c>
      <c r="K658" s="23" t="str">
        <f>TEXT('Call Data'!$F658,"DDDD")</f>
        <v>Saturday</v>
      </c>
      <c r="L658" s="23" t="s">
        <v>27</v>
      </c>
      <c r="M658" s="23">
        <f>ROUND('Call Data'!$I658,0)</f>
        <v>5</v>
      </c>
    </row>
    <row r="659" spans="1:13" ht="14.25" customHeight="1" x14ac:dyDescent="0.35">
      <c r="A659" s="23" t="s">
        <v>693</v>
      </c>
      <c r="B659" s="23" t="s">
        <v>38</v>
      </c>
      <c r="C659" s="23">
        <v>132</v>
      </c>
      <c r="D659" s="24" t="str" cm="1">
        <f t="array" ref="D659">_xlfn.IFS(CallData[[#This Row],[Duration]]&lt;=15,"Very short",CallData[[#This Row],[Duration]]&lt;=30,"Short",CallData[[#This Row],[Duration]]&lt;=60,"Medium",CallData[[#This Row],[Duration]]&gt;60,"Long")</f>
        <v>Long</v>
      </c>
      <c r="E659" s="24" t="s">
        <v>31</v>
      </c>
      <c r="F659" s="25">
        <v>45144</v>
      </c>
      <c r="G659" s="26">
        <v>195</v>
      </c>
      <c r="H659" s="26" t="str" cm="1">
        <f t="array" ref="H659">_xlfn.IFS(CallData[[#This Row],[Purchase Amount]]&lt;=50,"Low",CallData[[#This Row],[Purchase Amount]]&lt;=100,"Medium",CallData[[#This Row],[Purchase Amount]]&lt;=150,"High",CallData[[#This Row],[Purchase Amount]]&gt;150,"Very High")</f>
        <v>Very High</v>
      </c>
      <c r="I659" s="23">
        <v>4.9000000000000004</v>
      </c>
      <c r="J659" s="23">
        <f>IF(MONTH('Call Data'!$F659)&lt;=6, YEAR('Call Data'!$F659), YEAR('Call Data'!$F659)+1)</f>
        <v>2024</v>
      </c>
      <c r="K659" s="23" t="str">
        <f>TEXT('Call Data'!$F659,"DDDD")</f>
        <v>Sunday</v>
      </c>
      <c r="L659" s="23" t="s">
        <v>25</v>
      </c>
      <c r="M659" s="23">
        <f>ROUND('Call Data'!$I659,0)</f>
        <v>5</v>
      </c>
    </row>
    <row r="660" spans="1:13" ht="14.25" customHeight="1" x14ac:dyDescent="0.35">
      <c r="A660" s="23" t="s">
        <v>694</v>
      </c>
      <c r="B660" s="23" t="s">
        <v>29</v>
      </c>
      <c r="C660" s="23">
        <v>72</v>
      </c>
      <c r="D660" s="24" t="str" cm="1">
        <f t="array" ref="D660">_xlfn.IFS(CallData[[#This Row],[Duration]]&lt;=15,"Very short",CallData[[#This Row],[Duration]]&lt;=30,"Short",CallData[[#This Row],[Duration]]&lt;=60,"Medium",CallData[[#This Row],[Duration]]&gt;60,"Long")</f>
        <v>Long</v>
      </c>
      <c r="E660" s="24" t="s">
        <v>24</v>
      </c>
      <c r="F660" s="25">
        <v>45144</v>
      </c>
      <c r="G660" s="26">
        <v>70</v>
      </c>
      <c r="H660" s="26" t="str" cm="1">
        <f t="array" ref="H660">_xlfn.IFS(CallData[[#This Row],[Purchase Amount]]&lt;=50,"Low",CallData[[#This Row],[Purchase Amount]]&lt;=100,"Medium",CallData[[#This Row],[Purchase Amount]]&lt;=150,"High",CallData[[#This Row],[Purchase Amount]]&gt;150,"Very High")</f>
        <v>Medium</v>
      </c>
      <c r="I660" s="23">
        <v>3.6</v>
      </c>
      <c r="J660" s="23">
        <f>IF(MONTH('Call Data'!$F660)&lt;=6, YEAR('Call Data'!$F660), YEAR('Call Data'!$F660)+1)</f>
        <v>2024</v>
      </c>
      <c r="K660" s="23" t="str">
        <f>TEXT('Call Data'!$F660,"DDDD")</f>
        <v>Sunday</v>
      </c>
      <c r="L660" s="23" t="s">
        <v>14</v>
      </c>
      <c r="M660" s="23">
        <f>ROUND('Call Data'!$I660,0)</f>
        <v>4</v>
      </c>
    </row>
    <row r="661" spans="1:13" ht="14.25" customHeight="1" x14ac:dyDescent="0.35">
      <c r="A661" s="23" t="s">
        <v>695</v>
      </c>
      <c r="B661" s="23" t="s">
        <v>58</v>
      </c>
      <c r="C661" s="23">
        <v>18</v>
      </c>
      <c r="D661" s="24" t="str" cm="1">
        <f t="array" ref="D661">_xlfn.IFS(CallData[[#This Row],[Duration]]&lt;=15,"Very short",CallData[[#This Row],[Duration]]&lt;=30,"Short",CallData[[#This Row],[Duration]]&lt;=60,"Medium",CallData[[#This Row],[Duration]]&gt;60,"Long")</f>
        <v>Short</v>
      </c>
      <c r="E661" s="24" t="s">
        <v>24</v>
      </c>
      <c r="F661" s="25">
        <v>45144</v>
      </c>
      <c r="G661" s="26">
        <v>22</v>
      </c>
      <c r="H661" s="26" t="str" cm="1">
        <f t="array" ref="H661">_xlfn.IFS(CallData[[#This Row],[Purchase Amount]]&lt;=50,"Low",CallData[[#This Row],[Purchase Amount]]&lt;=100,"Medium",CallData[[#This Row],[Purchase Amount]]&lt;=150,"High",CallData[[#This Row],[Purchase Amount]]&gt;150,"Very High")</f>
        <v>Low</v>
      </c>
      <c r="I661" s="23">
        <v>3.5</v>
      </c>
      <c r="J661" s="23">
        <f>IF(MONTH('Call Data'!$F661)&lt;=6, YEAR('Call Data'!$F661), YEAR('Call Data'!$F661)+1)</f>
        <v>2024</v>
      </c>
      <c r="K661" s="23" t="str">
        <f>TEXT('Call Data'!$F661,"DDDD")</f>
        <v>Sunday</v>
      </c>
      <c r="L661" s="23" t="s">
        <v>47</v>
      </c>
      <c r="M661" s="23">
        <f>ROUND('Call Data'!$I661,0)</f>
        <v>4</v>
      </c>
    </row>
    <row r="662" spans="1:13" ht="14.25" customHeight="1" x14ac:dyDescent="0.35">
      <c r="A662" s="23" t="s">
        <v>696</v>
      </c>
      <c r="B662" s="23" t="s">
        <v>23</v>
      </c>
      <c r="C662" s="23">
        <v>115</v>
      </c>
      <c r="D662" s="24" t="str" cm="1">
        <f t="array" ref="D662">_xlfn.IFS(CallData[[#This Row],[Duration]]&lt;=15,"Very short",CallData[[#This Row],[Duration]]&lt;=30,"Short",CallData[[#This Row],[Duration]]&lt;=60,"Medium",CallData[[#This Row],[Duration]]&gt;60,"Long")</f>
        <v>Long</v>
      </c>
      <c r="E662" s="24" t="s">
        <v>35</v>
      </c>
      <c r="F662" s="25">
        <v>45145</v>
      </c>
      <c r="G662" s="26">
        <v>40</v>
      </c>
      <c r="H662" s="26" t="str" cm="1">
        <f t="array" ref="H662">_xlfn.IFS(CallData[[#This Row],[Purchase Amount]]&lt;=50,"Low",CallData[[#This Row],[Purchase Amount]]&lt;=100,"Medium",CallData[[#This Row],[Purchase Amount]]&lt;=150,"High",CallData[[#This Row],[Purchase Amount]]&gt;150,"Very High")</f>
        <v>Low</v>
      </c>
      <c r="I662" s="23">
        <v>3.3</v>
      </c>
      <c r="J662" s="23">
        <f>IF(MONTH('Call Data'!$F662)&lt;=6, YEAR('Call Data'!$F662), YEAR('Call Data'!$F662)+1)</f>
        <v>2024</v>
      </c>
      <c r="K662" s="23" t="str">
        <f>TEXT('Call Data'!$F662,"DDDD")</f>
        <v>Monday</v>
      </c>
      <c r="L662" s="23" t="s">
        <v>14</v>
      </c>
      <c r="M662" s="23">
        <f>ROUND('Call Data'!$I662,0)</f>
        <v>3</v>
      </c>
    </row>
    <row r="663" spans="1:13" ht="14.25" customHeight="1" x14ac:dyDescent="0.35">
      <c r="A663" s="23" t="s">
        <v>697</v>
      </c>
      <c r="B663" s="23" t="s">
        <v>23</v>
      </c>
      <c r="C663" s="23">
        <v>124</v>
      </c>
      <c r="D663" s="24" t="str" cm="1">
        <f t="array" ref="D663">_xlfn.IFS(CallData[[#This Row],[Duration]]&lt;=15,"Very short",CallData[[#This Row],[Duration]]&lt;=30,"Short",CallData[[#This Row],[Duration]]&lt;=60,"Medium",CallData[[#This Row],[Duration]]&gt;60,"Long")</f>
        <v>Long</v>
      </c>
      <c r="E663" s="24" t="s">
        <v>19</v>
      </c>
      <c r="F663" s="25">
        <v>45146</v>
      </c>
      <c r="G663" s="26">
        <v>54</v>
      </c>
      <c r="H663" s="26" t="str" cm="1">
        <f t="array" ref="H663">_xlfn.IFS(CallData[[#This Row],[Purchase Amount]]&lt;=50,"Low",CallData[[#This Row],[Purchase Amount]]&lt;=100,"Medium",CallData[[#This Row],[Purchase Amount]]&lt;=150,"High",CallData[[#This Row],[Purchase Amount]]&gt;150,"Very High")</f>
        <v>Medium</v>
      </c>
      <c r="I663" s="23">
        <v>3.8</v>
      </c>
      <c r="J663" s="23">
        <f>IF(MONTH('Call Data'!$F663)&lt;=6, YEAR('Call Data'!$F663), YEAR('Call Data'!$F663)+1)</f>
        <v>2024</v>
      </c>
      <c r="K663" s="23" t="str">
        <f>TEXT('Call Data'!$F663,"DDDD")</f>
        <v>Tuesday</v>
      </c>
      <c r="L663" s="23" t="s">
        <v>25</v>
      </c>
      <c r="M663" s="23">
        <f>ROUND('Call Data'!$I663,0)</f>
        <v>4</v>
      </c>
    </row>
    <row r="664" spans="1:13" ht="14.25" customHeight="1" x14ac:dyDescent="0.35">
      <c r="A664" s="23" t="s">
        <v>698</v>
      </c>
      <c r="B664" s="23" t="s">
        <v>16</v>
      </c>
      <c r="C664" s="23">
        <v>130</v>
      </c>
      <c r="D664" s="24" t="str" cm="1">
        <f t="array" ref="D664">_xlfn.IFS(CallData[[#This Row],[Duration]]&lt;=15,"Very short",CallData[[#This Row],[Duration]]&lt;=30,"Short",CallData[[#This Row],[Duration]]&lt;=60,"Medium",CallData[[#This Row],[Duration]]&gt;60,"Long")</f>
        <v>Long</v>
      </c>
      <c r="E664" s="24" t="s">
        <v>19</v>
      </c>
      <c r="F664" s="25">
        <v>45146</v>
      </c>
      <c r="G664" s="26">
        <v>60</v>
      </c>
      <c r="H664" s="26" t="str" cm="1">
        <f t="array" ref="H664">_xlfn.IFS(CallData[[#This Row],[Purchase Amount]]&lt;=50,"Low",CallData[[#This Row],[Purchase Amount]]&lt;=100,"Medium",CallData[[#This Row],[Purchase Amount]]&lt;=150,"High",CallData[[#This Row],[Purchase Amount]]&gt;150,"Very High")</f>
        <v>Medium</v>
      </c>
      <c r="I664" s="23">
        <v>2.5</v>
      </c>
      <c r="J664" s="23">
        <f>IF(MONTH('Call Data'!$F664)&lt;=6, YEAR('Call Data'!$F664), YEAR('Call Data'!$F664)+1)</f>
        <v>2024</v>
      </c>
      <c r="K664" s="23" t="str">
        <f>TEXT('Call Data'!$F664,"DDDD")</f>
        <v>Tuesday</v>
      </c>
      <c r="L664" s="23" t="s">
        <v>25</v>
      </c>
      <c r="M664" s="23">
        <f>ROUND('Call Data'!$I664,0)</f>
        <v>3</v>
      </c>
    </row>
    <row r="665" spans="1:13" ht="14.25" customHeight="1" x14ac:dyDescent="0.35">
      <c r="A665" s="23" t="s">
        <v>699</v>
      </c>
      <c r="B665" s="23" t="s">
        <v>55</v>
      </c>
      <c r="C665" s="23">
        <v>120</v>
      </c>
      <c r="D665" s="24" t="str" cm="1">
        <f t="array" ref="D665">_xlfn.IFS(CallData[[#This Row],[Duration]]&lt;=15,"Very short",CallData[[#This Row],[Duration]]&lt;=30,"Short",CallData[[#This Row],[Duration]]&lt;=60,"Medium",CallData[[#This Row],[Duration]]&gt;60,"Long")</f>
        <v>Long</v>
      </c>
      <c r="E665" s="24" t="s">
        <v>13</v>
      </c>
      <c r="F665" s="25">
        <v>45148</v>
      </c>
      <c r="G665" s="26">
        <v>58</v>
      </c>
      <c r="H665" s="26" t="str" cm="1">
        <f t="array" ref="H665">_xlfn.IFS(CallData[[#This Row],[Purchase Amount]]&lt;=50,"Low",CallData[[#This Row],[Purchase Amount]]&lt;=100,"Medium",CallData[[#This Row],[Purchase Amount]]&lt;=150,"High",CallData[[#This Row],[Purchase Amount]]&gt;150,"Very High")</f>
        <v>Medium</v>
      </c>
      <c r="I665" s="23">
        <v>4.5999999999999996</v>
      </c>
      <c r="J665" s="23">
        <f>IF(MONTH('Call Data'!$F665)&lt;=6, YEAR('Call Data'!$F665), YEAR('Call Data'!$F665)+1)</f>
        <v>2024</v>
      </c>
      <c r="K665" s="23" t="str">
        <f>TEXT('Call Data'!$F665,"DDDD")</f>
        <v>Thursday</v>
      </c>
      <c r="L665" s="23" t="s">
        <v>14</v>
      </c>
      <c r="M665" s="23">
        <f>ROUND('Call Data'!$I665,0)</f>
        <v>5</v>
      </c>
    </row>
    <row r="666" spans="1:13" ht="14.25" customHeight="1" x14ac:dyDescent="0.35">
      <c r="A666" s="23" t="s">
        <v>700</v>
      </c>
      <c r="B666" s="23" t="s">
        <v>34</v>
      </c>
      <c r="C666" s="23">
        <v>75</v>
      </c>
      <c r="D666" s="24" t="str" cm="1">
        <f t="array" ref="D666">_xlfn.IFS(CallData[[#This Row],[Duration]]&lt;=15,"Very short",CallData[[#This Row],[Duration]]&lt;=30,"Short",CallData[[#This Row],[Duration]]&lt;=60,"Medium",CallData[[#This Row],[Duration]]&gt;60,"Long")</f>
        <v>Long</v>
      </c>
      <c r="E666" s="24" t="s">
        <v>35</v>
      </c>
      <c r="F666" s="25">
        <v>45148</v>
      </c>
      <c r="G666" s="26">
        <v>220</v>
      </c>
      <c r="H666" s="26" t="str" cm="1">
        <f t="array" ref="H666">_xlfn.IFS(CallData[[#This Row],[Purchase Amount]]&lt;=50,"Low",CallData[[#This Row],[Purchase Amount]]&lt;=100,"Medium",CallData[[#This Row],[Purchase Amount]]&lt;=150,"High",CallData[[#This Row],[Purchase Amount]]&gt;150,"Very High")</f>
        <v>Very High</v>
      </c>
      <c r="I666" s="23">
        <v>4.7</v>
      </c>
      <c r="J666" s="23">
        <f>IF(MONTH('Call Data'!$F666)&lt;=6, YEAR('Call Data'!$F666), YEAR('Call Data'!$F666)+1)</f>
        <v>2024</v>
      </c>
      <c r="K666" s="23" t="str">
        <f>TEXT('Call Data'!$F666,"DDDD")</f>
        <v>Thursday</v>
      </c>
      <c r="L666" s="23" t="s">
        <v>14</v>
      </c>
      <c r="M666" s="23">
        <f>ROUND('Call Data'!$I666,0)</f>
        <v>5</v>
      </c>
    </row>
    <row r="667" spans="1:13" ht="14.25" customHeight="1" x14ac:dyDescent="0.35">
      <c r="A667" s="23" t="s">
        <v>701</v>
      </c>
      <c r="B667" s="23" t="s">
        <v>12</v>
      </c>
      <c r="C667" s="23">
        <v>63</v>
      </c>
      <c r="D667" s="24" t="str" cm="1">
        <f t="array" ref="D667">_xlfn.IFS(CallData[[#This Row],[Duration]]&lt;=15,"Very short",CallData[[#This Row],[Duration]]&lt;=30,"Short",CallData[[#This Row],[Duration]]&lt;=60,"Medium",CallData[[#This Row],[Duration]]&gt;60,"Long")</f>
        <v>Long</v>
      </c>
      <c r="E667" s="24" t="s">
        <v>35</v>
      </c>
      <c r="F667" s="25">
        <v>45148</v>
      </c>
      <c r="G667" s="26">
        <v>27</v>
      </c>
      <c r="H667" s="26" t="str" cm="1">
        <f t="array" ref="H667">_xlfn.IFS(CallData[[#This Row],[Purchase Amount]]&lt;=50,"Low",CallData[[#This Row],[Purchase Amount]]&lt;=100,"Medium",CallData[[#This Row],[Purchase Amount]]&lt;=150,"High",CallData[[#This Row],[Purchase Amount]]&gt;150,"Very High")</f>
        <v>Low</v>
      </c>
      <c r="I667" s="23">
        <v>3.6</v>
      </c>
      <c r="J667" s="23">
        <f>IF(MONTH('Call Data'!$F667)&lt;=6, YEAR('Call Data'!$F667), YEAR('Call Data'!$F667)+1)</f>
        <v>2024</v>
      </c>
      <c r="K667" s="23" t="str">
        <f>TEXT('Call Data'!$F667,"DDDD")</f>
        <v>Thursday</v>
      </c>
      <c r="L667" s="23" t="s">
        <v>14</v>
      </c>
      <c r="M667" s="23">
        <f>ROUND('Call Data'!$I667,0)</f>
        <v>4</v>
      </c>
    </row>
    <row r="668" spans="1:13" ht="14.25" customHeight="1" x14ac:dyDescent="0.35">
      <c r="A668" s="23" t="s">
        <v>702</v>
      </c>
      <c r="B668" s="23" t="s">
        <v>38</v>
      </c>
      <c r="C668" s="23">
        <v>74</v>
      </c>
      <c r="D668" s="24" t="str" cm="1">
        <f t="array" ref="D668">_xlfn.IFS(CallData[[#This Row],[Duration]]&lt;=15,"Very short",CallData[[#This Row],[Duration]]&lt;=30,"Short",CallData[[#This Row],[Duration]]&lt;=60,"Medium",CallData[[#This Row],[Duration]]&gt;60,"Long")</f>
        <v>Long</v>
      </c>
      <c r="E668" s="24" t="s">
        <v>35</v>
      </c>
      <c r="F668" s="25">
        <v>45150</v>
      </c>
      <c r="G668" s="26">
        <v>26</v>
      </c>
      <c r="H668" s="26" t="str" cm="1">
        <f t="array" ref="H668">_xlfn.IFS(CallData[[#This Row],[Purchase Amount]]&lt;=50,"Low",CallData[[#This Row],[Purchase Amount]]&lt;=100,"Medium",CallData[[#This Row],[Purchase Amount]]&lt;=150,"High",CallData[[#This Row],[Purchase Amount]]&gt;150,"Very High")</f>
        <v>Low</v>
      </c>
      <c r="I668" s="23">
        <v>4.3</v>
      </c>
      <c r="J668" s="23">
        <f>IF(MONTH('Call Data'!$F668)&lt;=6, YEAR('Call Data'!$F668), YEAR('Call Data'!$F668)+1)</f>
        <v>2024</v>
      </c>
      <c r="K668" s="23" t="str">
        <f>TEXT('Call Data'!$F668,"DDDD")</f>
        <v>Saturday</v>
      </c>
      <c r="L668" s="23" t="s">
        <v>14</v>
      </c>
      <c r="M668" s="23">
        <f>ROUND('Call Data'!$I668,0)</f>
        <v>4</v>
      </c>
    </row>
    <row r="669" spans="1:13" ht="14.25" customHeight="1" x14ac:dyDescent="0.35">
      <c r="A669" s="23" t="s">
        <v>703</v>
      </c>
      <c r="B669" s="23" t="s">
        <v>50</v>
      </c>
      <c r="C669" s="23">
        <v>134</v>
      </c>
      <c r="D669" s="24" t="str" cm="1">
        <f t="array" ref="D669">_xlfn.IFS(CallData[[#This Row],[Duration]]&lt;=15,"Very short",CallData[[#This Row],[Duration]]&lt;=30,"Short",CallData[[#This Row],[Duration]]&lt;=60,"Medium",CallData[[#This Row],[Duration]]&gt;60,"Long")</f>
        <v>Long</v>
      </c>
      <c r="E669" s="24" t="s">
        <v>31</v>
      </c>
      <c r="F669" s="25">
        <v>45151</v>
      </c>
      <c r="G669" s="26">
        <v>160</v>
      </c>
      <c r="H669" s="26" t="str" cm="1">
        <f t="array" ref="H669">_xlfn.IFS(CallData[[#This Row],[Purchase Amount]]&lt;=50,"Low",CallData[[#This Row],[Purchase Amount]]&lt;=100,"Medium",CallData[[#This Row],[Purchase Amount]]&lt;=150,"High",CallData[[#This Row],[Purchase Amount]]&gt;150,"Very High")</f>
        <v>Very High</v>
      </c>
      <c r="I669" s="23">
        <v>4.7</v>
      </c>
      <c r="J669" s="23">
        <f>IF(MONTH('Call Data'!$F669)&lt;=6, YEAR('Call Data'!$F669), YEAR('Call Data'!$F669)+1)</f>
        <v>2024</v>
      </c>
      <c r="K669" s="23" t="str">
        <f>TEXT('Call Data'!$F669,"DDDD")</f>
        <v>Sunday</v>
      </c>
      <c r="L669" s="23" t="s">
        <v>25</v>
      </c>
      <c r="M669" s="23">
        <f>ROUND('Call Data'!$I669,0)</f>
        <v>5</v>
      </c>
    </row>
    <row r="670" spans="1:13" ht="14.25" customHeight="1" x14ac:dyDescent="0.35">
      <c r="A670" s="23" t="s">
        <v>704</v>
      </c>
      <c r="B670" s="23" t="s">
        <v>58</v>
      </c>
      <c r="C670" s="23">
        <v>103</v>
      </c>
      <c r="D670" s="24" t="str" cm="1">
        <f t="array" ref="D670">_xlfn.IFS(CallData[[#This Row],[Duration]]&lt;=15,"Very short",CallData[[#This Row],[Duration]]&lt;=30,"Short",CallData[[#This Row],[Duration]]&lt;=60,"Medium",CallData[[#This Row],[Duration]]&gt;60,"Long")</f>
        <v>Long</v>
      </c>
      <c r="E670" s="24" t="s">
        <v>19</v>
      </c>
      <c r="F670" s="25">
        <v>45151</v>
      </c>
      <c r="G670" s="26">
        <v>200</v>
      </c>
      <c r="H670" s="26" t="str" cm="1">
        <f t="array" ref="H670">_xlfn.IFS(CallData[[#This Row],[Purchase Amount]]&lt;=50,"Low",CallData[[#This Row],[Purchase Amount]]&lt;=100,"Medium",CallData[[#This Row],[Purchase Amount]]&lt;=150,"High",CallData[[#This Row],[Purchase Amount]]&gt;150,"Very High")</f>
        <v>Very High</v>
      </c>
      <c r="I670" s="23">
        <v>4.9000000000000004</v>
      </c>
      <c r="J670" s="23">
        <f>IF(MONTH('Call Data'!$F670)&lt;=6, YEAR('Call Data'!$F670), YEAR('Call Data'!$F670)+1)</f>
        <v>2024</v>
      </c>
      <c r="K670" s="23" t="str">
        <f>TEXT('Call Data'!$F670,"DDDD")</f>
        <v>Sunday</v>
      </c>
      <c r="L670" s="23" t="s">
        <v>14</v>
      </c>
      <c r="M670" s="23">
        <f>ROUND('Call Data'!$I670,0)</f>
        <v>5</v>
      </c>
    </row>
    <row r="671" spans="1:13" ht="14.25" customHeight="1" x14ac:dyDescent="0.35">
      <c r="A671" s="23" t="s">
        <v>705</v>
      </c>
      <c r="B671" s="23" t="s">
        <v>58</v>
      </c>
      <c r="C671" s="23">
        <v>155</v>
      </c>
      <c r="D671" s="24" t="str" cm="1">
        <f t="array" ref="D671">_xlfn.IFS(CallData[[#This Row],[Duration]]&lt;=15,"Very short",CallData[[#This Row],[Duration]]&lt;=30,"Short",CallData[[#This Row],[Duration]]&lt;=60,"Medium",CallData[[#This Row],[Duration]]&gt;60,"Long")</f>
        <v>Long</v>
      </c>
      <c r="E671" s="24" t="s">
        <v>13</v>
      </c>
      <c r="F671" s="25">
        <v>45154</v>
      </c>
      <c r="G671" s="26">
        <v>135</v>
      </c>
      <c r="H671" s="26" t="str" cm="1">
        <f t="array" ref="H671">_xlfn.IFS(CallData[[#This Row],[Purchase Amount]]&lt;=50,"Low",CallData[[#This Row],[Purchase Amount]]&lt;=100,"Medium",CallData[[#This Row],[Purchase Amount]]&lt;=150,"High",CallData[[#This Row],[Purchase Amount]]&gt;150,"Very High")</f>
        <v>High</v>
      </c>
      <c r="I671" s="23">
        <v>4.9000000000000004</v>
      </c>
      <c r="J671" s="23">
        <f>IF(MONTH('Call Data'!$F671)&lt;=6, YEAR('Call Data'!$F671), YEAR('Call Data'!$F671)+1)</f>
        <v>2024</v>
      </c>
      <c r="K671" s="23" t="str">
        <f>TEXT('Call Data'!$F671,"DDDD")</f>
        <v>Wednesday</v>
      </c>
      <c r="L671" s="23" t="s">
        <v>25</v>
      </c>
      <c r="M671" s="23">
        <f>ROUND('Call Data'!$I671,0)</f>
        <v>5</v>
      </c>
    </row>
    <row r="672" spans="1:13" ht="14.25" customHeight="1" x14ac:dyDescent="0.35">
      <c r="A672" s="23" t="s">
        <v>706</v>
      </c>
      <c r="B672" s="23" t="s">
        <v>12</v>
      </c>
      <c r="C672" s="23">
        <v>128</v>
      </c>
      <c r="D672" s="24" t="str" cm="1">
        <f t="array" ref="D672">_xlfn.IFS(CallData[[#This Row],[Duration]]&lt;=15,"Very short",CallData[[#This Row],[Duration]]&lt;=30,"Short",CallData[[#This Row],[Duration]]&lt;=60,"Medium",CallData[[#This Row],[Duration]]&gt;60,"Long")</f>
        <v>Long</v>
      </c>
      <c r="E672" s="24" t="s">
        <v>19</v>
      </c>
      <c r="F672" s="25">
        <v>45155</v>
      </c>
      <c r="G672" s="26">
        <v>22</v>
      </c>
      <c r="H672" s="26" t="str" cm="1">
        <f t="array" ref="H672">_xlfn.IFS(CallData[[#This Row],[Purchase Amount]]&lt;=50,"Low",CallData[[#This Row],[Purchase Amount]]&lt;=100,"Medium",CallData[[#This Row],[Purchase Amount]]&lt;=150,"High",CallData[[#This Row],[Purchase Amount]]&gt;150,"Very High")</f>
        <v>Low</v>
      </c>
      <c r="I672" s="23">
        <v>1.9</v>
      </c>
      <c r="J672" s="23">
        <f>IF(MONTH('Call Data'!$F672)&lt;=6, YEAR('Call Data'!$F672), YEAR('Call Data'!$F672)+1)</f>
        <v>2024</v>
      </c>
      <c r="K672" s="23" t="str">
        <f>TEXT('Call Data'!$F672,"DDDD")</f>
        <v>Thursday</v>
      </c>
      <c r="L672" s="23" t="s">
        <v>25</v>
      </c>
      <c r="M672" s="23">
        <f>ROUND('Call Data'!$I672,0)</f>
        <v>2</v>
      </c>
    </row>
    <row r="673" spans="1:13" ht="14.25" customHeight="1" x14ac:dyDescent="0.35">
      <c r="A673" s="23" t="s">
        <v>707</v>
      </c>
      <c r="B673" s="23" t="s">
        <v>34</v>
      </c>
      <c r="C673" s="23">
        <v>89</v>
      </c>
      <c r="D673" s="24" t="str" cm="1">
        <f t="array" ref="D673">_xlfn.IFS(CallData[[#This Row],[Duration]]&lt;=15,"Very short",CallData[[#This Row],[Duration]]&lt;=30,"Short",CallData[[#This Row],[Duration]]&lt;=60,"Medium",CallData[[#This Row],[Duration]]&gt;60,"Long")</f>
        <v>Long</v>
      </c>
      <c r="E673" s="24" t="s">
        <v>31</v>
      </c>
      <c r="F673" s="25">
        <v>45156</v>
      </c>
      <c r="G673" s="26">
        <v>164</v>
      </c>
      <c r="H673" s="26" t="str" cm="1">
        <f t="array" ref="H673">_xlfn.IFS(CallData[[#This Row],[Purchase Amount]]&lt;=50,"Low",CallData[[#This Row],[Purchase Amount]]&lt;=100,"Medium",CallData[[#This Row],[Purchase Amount]]&lt;=150,"High",CallData[[#This Row],[Purchase Amount]]&gt;150,"Very High")</f>
        <v>Very High</v>
      </c>
      <c r="I673" s="23">
        <v>4.5</v>
      </c>
      <c r="J673" s="23">
        <f>IF(MONTH('Call Data'!$F673)&lt;=6, YEAR('Call Data'!$F673), YEAR('Call Data'!$F673)+1)</f>
        <v>2024</v>
      </c>
      <c r="K673" s="23" t="str">
        <f>TEXT('Call Data'!$F673,"DDDD")</f>
        <v>Friday</v>
      </c>
      <c r="L673" s="23" t="s">
        <v>14</v>
      </c>
      <c r="M673" s="23">
        <f>ROUND('Call Data'!$I673,0)</f>
        <v>5</v>
      </c>
    </row>
    <row r="674" spans="1:13" ht="14.25" customHeight="1" x14ac:dyDescent="0.35">
      <c r="A674" s="23" t="s">
        <v>708</v>
      </c>
      <c r="B674" s="23" t="s">
        <v>23</v>
      </c>
      <c r="C674" s="23">
        <v>81</v>
      </c>
      <c r="D674" s="24" t="str" cm="1">
        <f t="array" ref="D674">_xlfn.IFS(CallData[[#This Row],[Duration]]&lt;=15,"Very short",CallData[[#This Row],[Duration]]&lt;=30,"Short",CallData[[#This Row],[Duration]]&lt;=60,"Medium",CallData[[#This Row],[Duration]]&gt;60,"Long")</f>
        <v>Long</v>
      </c>
      <c r="E674" s="24" t="s">
        <v>13</v>
      </c>
      <c r="F674" s="25">
        <v>45156</v>
      </c>
      <c r="G674" s="26">
        <v>21</v>
      </c>
      <c r="H674" s="26" t="str" cm="1">
        <f t="array" ref="H674">_xlfn.IFS(CallData[[#This Row],[Purchase Amount]]&lt;=50,"Low",CallData[[#This Row],[Purchase Amount]]&lt;=100,"Medium",CallData[[#This Row],[Purchase Amount]]&lt;=150,"High",CallData[[#This Row],[Purchase Amount]]&gt;150,"Very High")</f>
        <v>Low</v>
      </c>
      <c r="I674" s="23">
        <v>4.9000000000000004</v>
      </c>
      <c r="J674" s="23">
        <f>IF(MONTH('Call Data'!$F674)&lt;=6, YEAR('Call Data'!$F674), YEAR('Call Data'!$F674)+1)</f>
        <v>2024</v>
      </c>
      <c r="K674" s="23" t="str">
        <f>TEXT('Call Data'!$F674,"DDDD")</f>
        <v>Friday</v>
      </c>
      <c r="L674" s="23" t="s">
        <v>14</v>
      </c>
      <c r="M674" s="23">
        <f>ROUND('Call Data'!$I674,0)</f>
        <v>5</v>
      </c>
    </row>
    <row r="675" spans="1:13" ht="14.25" customHeight="1" x14ac:dyDescent="0.35">
      <c r="A675" s="23" t="s">
        <v>709</v>
      </c>
      <c r="B675" s="23" t="s">
        <v>34</v>
      </c>
      <c r="C675" s="23">
        <v>66</v>
      </c>
      <c r="D675" s="24" t="str" cm="1">
        <f t="array" ref="D675">_xlfn.IFS(CallData[[#This Row],[Duration]]&lt;=15,"Very short",CallData[[#This Row],[Duration]]&lt;=30,"Short",CallData[[#This Row],[Duration]]&lt;=60,"Medium",CallData[[#This Row],[Duration]]&gt;60,"Long")</f>
        <v>Long</v>
      </c>
      <c r="E675" s="24" t="s">
        <v>31</v>
      </c>
      <c r="F675" s="25">
        <v>45157</v>
      </c>
      <c r="G675" s="26">
        <v>120</v>
      </c>
      <c r="H675" s="26" t="str" cm="1">
        <f t="array" ref="H675">_xlfn.IFS(CallData[[#This Row],[Purchase Amount]]&lt;=50,"Low",CallData[[#This Row],[Purchase Amount]]&lt;=100,"Medium",CallData[[#This Row],[Purchase Amount]]&lt;=150,"High",CallData[[#This Row],[Purchase Amount]]&gt;150,"Very High")</f>
        <v>High</v>
      </c>
      <c r="I675" s="23">
        <v>4.5</v>
      </c>
      <c r="J675" s="23">
        <f>IF(MONTH('Call Data'!$F675)&lt;=6, YEAR('Call Data'!$F675), YEAR('Call Data'!$F675)+1)</f>
        <v>2024</v>
      </c>
      <c r="K675" s="23" t="str">
        <f>TEXT('Call Data'!$F675,"DDDD")</f>
        <v>Saturday</v>
      </c>
      <c r="L675" s="23" t="s">
        <v>14</v>
      </c>
      <c r="M675" s="23">
        <f>ROUND('Call Data'!$I675,0)</f>
        <v>5</v>
      </c>
    </row>
    <row r="676" spans="1:13" ht="14.25" customHeight="1" x14ac:dyDescent="0.35">
      <c r="A676" s="23" t="s">
        <v>710</v>
      </c>
      <c r="B676" s="23" t="s">
        <v>29</v>
      </c>
      <c r="C676" s="23">
        <v>61</v>
      </c>
      <c r="D676" s="24" t="str" cm="1">
        <f t="array" ref="D676">_xlfn.IFS(CallData[[#This Row],[Duration]]&lt;=15,"Very short",CallData[[#This Row],[Duration]]&lt;=30,"Short",CallData[[#This Row],[Duration]]&lt;=60,"Medium",CallData[[#This Row],[Duration]]&gt;60,"Long")</f>
        <v>Long</v>
      </c>
      <c r="E676" s="24" t="s">
        <v>24</v>
      </c>
      <c r="F676" s="25">
        <v>45157</v>
      </c>
      <c r="G676" s="26">
        <v>93</v>
      </c>
      <c r="H676" s="26" t="str" cm="1">
        <f t="array" ref="H676">_xlfn.IFS(CallData[[#This Row],[Purchase Amount]]&lt;=50,"Low",CallData[[#This Row],[Purchase Amount]]&lt;=100,"Medium",CallData[[#This Row],[Purchase Amount]]&lt;=150,"High",CallData[[#This Row],[Purchase Amount]]&gt;150,"Very High")</f>
        <v>Medium</v>
      </c>
      <c r="I676" s="23">
        <v>2.7</v>
      </c>
      <c r="J676" s="23">
        <f>IF(MONTH('Call Data'!$F676)&lt;=6, YEAR('Call Data'!$F676), YEAR('Call Data'!$F676)+1)</f>
        <v>2024</v>
      </c>
      <c r="K676" s="23" t="str">
        <f>TEXT('Call Data'!$F676,"DDDD")</f>
        <v>Saturday</v>
      </c>
      <c r="L676" s="23" t="s">
        <v>14</v>
      </c>
      <c r="M676" s="23">
        <f>ROUND('Call Data'!$I676,0)</f>
        <v>3</v>
      </c>
    </row>
    <row r="677" spans="1:13" ht="14.25" customHeight="1" x14ac:dyDescent="0.35">
      <c r="A677" s="23" t="s">
        <v>711</v>
      </c>
      <c r="B677" s="23" t="s">
        <v>23</v>
      </c>
      <c r="C677" s="23">
        <v>128</v>
      </c>
      <c r="D677" s="24" t="str" cm="1">
        <f t="array" ref="D677">_xlfn.IFS(CallData[[#This Row],[Duration]]&lt;=15,"Very short",CallData[[#This Row],[Duration]]&lt;=30,"Short",CallData[[#This Row],[Duration]]&lt;=60,"Medium",CallData[[#This Row],[Duration]]&gt;60,"Long")</f>
        <v>Long</v>
      </c>
      <c r="E677" s="24" t="s">
        <v>24</v>
      </c>
      <c r="F677" s="25">
        <v>45157</v>
      </c>
      <c r="G677" s="26">
        <v>135</v>
      </c>
      <c r="H677" s="26" t="str" cm="1">
        <f t="array" ref="H677">_xlfn.IFS(CallData[[#This Row],[Purchase Amount]]&lt;=50,"Low",CallData[[#This Row],[Purchase Amount]]&lt;=100,"Medium",CallData[[#This Row],[Purchase Amount]]&lt;=150,"High",CallData[[#This Row],[Purchase Amount]]&gt;150,"Very High")</f>
        <v>High</v>
      </c>
      <c r="I677" s="23">
        <v>2.1</v>
      </c>
      <c r="J677" s="23">
        <f>IF(MONTH('Call Data'!$F677)&lt;=6, YEAR('Call Data'!$F677), YEAR('Call Data'!$F677)+1)</f>
        <v>2024</v>
      </c>
      <c r="K677" s="23" t="str">
        <f>TEXT('Call Data'!$F677,"DDDD")</f>
        <v>Saturday</v>
      </c>
      <c r="L677" s="23" t="s">
        <v>25</v>
      </c>
      <c r="M677" s="23">
        <f>ROUND('Call Data'!$I677,0)</f>
        <v>2</v>
      </c>
    </row>
    <row r="678" spans="1:13" ht="14.25" customHeight="1" x14ac:dyDescent="0.35">
      <c r="A678" s="23" t="s">
        <v>712</v>
      </c>
      <c r="B678" s="23" t="s">
        <v>58</v>
      </c>
      <c r="C678" s="23">
        <v>30</v>
      </c>
      <c r="D678" s="24" t="str" cm="1">
        <f t="array" ref="D678">_xlfn.IFS(CallData[[#This Row],[Duration]]&lt;=15,"Very short",CallData[[#This Row],[Duration]]&lt;=30,"Short",CallData[[#This Row],[Duration]]&lt;=60,"Medium",CallData[[#This Row],[Duration]]&gt;60,"Long")</f>
        <v>Short</v>
      </c>
      <c r="E678" s="24" t="s">
        <v>13</v>
      </c>
      <c r="F678" s="25">
        <v>45157</v>
      </c>
      <c r="G678" s="26">
        <v>210</v>
      </c>
      <c r="H678" s="26" t="str" cm="1">
        <f t="array" ref="H678">_xlfn.IFS(CallData[[#This Row],[Purchase Amount]]&lt;=50,"Low",CallData[[#This Row],[Purchase Amount]]&lt;=100,"Medium",CallData[[#This Row],[Purchase Amount]]&lt;=150,"High",CallData[[#This Row],[Purchase Amount]]&gt;150,"Very High")</f>
        <v>Very High</v>
      </c>
      <c r="I678" s="23">
        <v>4.2</v>
      </c>
      <c r="J678" s="23">
        <f>IF(MONTH('Call Data'!$F678)&lt;=6, YEAR('Call Data'!$F678), YEAR('Call Data'!$F678)+1)</f>
        <v>2024</v>
      </c>
      <c r="K678" s="23" t="str">
        <f>TEXT('Call Data'!$F678,"DDDD")</f>
        <v>Saturday</v>
      </c>
      <c r="L678" s="23" t="s">
        <v>47</v>
      </c>
      <c r="M678" s="23">
        <f>ROUND('Call Data'!$I678,0)</f>
        <v>4</v>
      </c>
    </row>
    <row r="679" spans="1:13" ht="14.25" customHeight="1" x14ac:dyDescent="0.35">
      <c r="A679" s="23" t="s">
        <v>713</v>
      </c>
      <c r="B679" s="23" t="s">
        <v>88</v>
      </c>
      <c r="C679" s="23">
        <v>63</v>
      </c>
      <c r="D679" s="24" t="str" cm="1">
        <f t="array" ref="D679">_xlfn.IFS(CallData[[#This Row],[Duration]]&lt;=15,"Very short",CallData[[#This Row],[Duration]]&lt;=30,"Short",CallData[[#This Row],[Duration]]&lt;=60,"Medium",CallData[[#This Row],[Duration]]&gt;60,"Long")</f>
        <v>Long</v>
      </c>
      <c r="E679" s="24" t="s">
        <v>24</v>
      </c>
      <c r="F679" s="25">
        <v>45158</v>
      </c>
      <c r="G679" s="26">
        <v>29</v>
      </c>
      <c r="H679" s="26" t="str" cm="1">
        <f t="array" ref="H679">_xlfn.IFS(CallData[[#This Row],[Purchase Amount]]&lt;=50,"Low",CallData[[#This Row],[Purchase Amount]]&lt;=100,"Medium",CallData[[#This Row],[Purchase Amount]]&lt;=150,"High",CallData[[#This Row],[Purchase Amount]]&gt;150,"Very High")</f>
        <v>Low</v>
      </c>
      <c r="I679" s="23">
        <v>4.7</v>
      </c>
      <c r="J679" s="23">
        <f>IF(MONTH('Call Data'!$F679)&lt;=6, YEAR('Call Data'!$F679), YEAR('Call Data'!$F679)+1)</f>
        <v>2024</v>
      </c>
      <c r="K679" s="23" t="str">
        <f>TEXT('Call Data'!$F679,"DDDD")</f>
        <v>Sunday</v>
      </c>
      <c r="L679" s="23" t="s">
        <v>14</v>
      </c>
      <c r="M679" s="23">
        <f>ROUND('Call Data'!$I679,0)</f>
        <v>5</v>
      </c>
    </row>
    <row r="680" spans="1:13" ht="14.25" customHeight="1" x14ac:dyDescent="0.35">
      <c r="A680" s="23" t="s">
        <v>714</v>
      </c>
      <c r="B680" s="23" t="s">
        <v>40</v>
      </c>
      <c r="C680" s="23">
        <v>64</v>
      </c>
      <c r="D680" s="24" t="str" cm="1">
        <f t="array" ref="D680">_xlfn.IFS(CallData[[#This Row],[Duration]]&lt;=15,"Very short",CallData[[#This Row],[Duration]]&lt;=30,"Short",CallData[[#This Row],[Duration]]&lt;=60,"Medium",CallData[[#This Row],[Duration]]&gt;60,"Long")</f>
        <v>Long</v>
      </c>
      <c r="E680" s="24" t="s">
        <v>35</v>
      </c>
      <c r="F680" s="25">
        <v>45158</v>
      </c>
      <c r="G680" s="26">
        <v>111</v>
      </c>
      <c r="H680" s="26" t="str" cm="1">
        <f t="array" ref="H680">_xlfn.IFS(CallData[[#This Row],[Purchase Amount]]&lt;=50,"Low",CallData[[#This Row],[Purchase Amount]]&lt;=100,"Medium",CallData[[#This Row],[Purchase Amount]]&lt;=150,"High",CallData[[#This Row],[Purchase Amount]]&gt;150,"Very High")</f>
        <v>High</v>
      </c>
      <c r="I680" s="23">
        <v>3.9</v>
      </c>
      <c r="J680" s="23">
        <f>IF(MONTH('Call Data'!$F680)&lt;=6, YEAR('Call Data'!$F680), YEAR('Call Data'!$F680)+1)</f>
        <v>2024</v>
      </c>
      <c r="K680" s="23" t="str">
        <f>TEXT('Call Data'!$F680,"DDDD")</f>
        <v>Sunday</v>
      </c>
      <c r="L680" s="23" t="s">
        <v>14</v>
      </c>
      <c r="M680" s="23">
        <f>ROUND('Call Data'!$I680,0)</f>
        <v>4</v>
      </c>
    </row>
    <row r="681" spans="1:13" ht="14.25" customHeight="1" x14ac:dyDescent="0.35">
      <c r="A681" s="23" t="s">
        <v>715</v>
      </c>
      <c r="B681" s="23" t="s">
        <v>21</v>
      </c>
      <c r="C681" s="23">
        <v>151</v>
      </c>
      <c r="D681" s="24" t="str" cm="1">
        <f t="array" ref="D681">_xlfn.IFS(CallData[[#This Row],[Duration]]&lt;=15,"Very short",CallData[[#This Row],[Duration]]&lt;=30,"Short",CallData[[#This Row],[Duration]]&lt;=60,"Medium",CallData[[#This Row],[Duration]]&gt;60,"Long")</f>
        <v>Long</v>
      </c>
      <c r="E681" s="24" t="s">
        <v>19</v>
      </c>
      <c r="F681" s="25">
        <v>45159</v>
      </c>
      <c r="G681" s="26">
        <v>63</v>
      </c>
      <c r="H681" s="26" t="str" cm="1">
        <f t="array" ref="H681">_xlfn.IFS(CallData[[#This Row],[Purchase Amount]]&lt;=50,"Low",CallData[[#This Row],[Purchase Amount]]&lt;=100,"Medium",CallData[[#This Row],[Purchase Amount]]&lt;=150,"High",CallData[[#This Row],[Purchase Amount]]&gt;150,"Very High")</f>
        <v>Medium</v>
      </c>
      <c r="I681" s="23">
        <v>4.0999999999999996</v>
      </c>
      <c r="J681" s="23">
        <f>IF(MONTH('Call Data'!$F681)&lt;=6, YEAR('Call Data'!$F681), YEAR('Call Data'!$F681)+1)</f>
        <v>2024</v>
      </c>
      <c r="K681" s="23" t="str">
        <f>TEXT('Call Data'!$F681,"DDDD")</f>
        <v>Monday</v>
      </c>
      <c r="L681" s="23" t="s">
        <v>25</v>
      </c>
      <c r="M681" s="23">
        <f>ROUND('Call Data'!$I681,0)</f>
        <v>4</v>
      </c>
    </row>
    <row r="682" spans="1:13" ht="14.25" customHeight="1" x14ac:dyDescent="0.35">
      <c r="A682" s="23" t="s">
        <v>716</v>
      </c>
      <c r="B682" s="23" t="s">
        <v>68</v>
      </c>
      <c r="C682" s="23">
        <v>116</v>
      </c>
      <c r="D682" s="24" t="str" cm="1">
        <f t="array" ref="D682">_xlfn.IFS(CallData[[#This Row],[Duration]]&lt;=15,"Very short",CallData[[#This Row],[Duration]]&lt;=30,"Short",CallData[[#This Row],[Duration]]&lt;=60,"Medium",CallData[[#This Row],[Duration]]&gt;60,"Long")</f>
        <v>Long</v>
      </c>
      <c r="E682" s="24" t="s">
        <v>31</v>
      </c>
      <c r="F682" s="25">
        <v>45159</v>
      </c>
      <c r="G682" s="26">
        <v>44</v>
      </c>
      <c r="H682" s="26" t="str" cm="1">
        <f t="array" ref="H682">_xlfn.IFS(CallData[[#This Row],[Purchase Amount]]&lt;=50,"Low",CallData[[#This Row],[Purchase Amount]]&lt;=100,"Medium",CallData[[#This Row],[Purchase Amount]]&lt;=150,"High",CallData[[#This Row],[Purchase Amount]]&gt;150,"Very High")</f>
        <v>Low</v>
      </c>
      <c r="I682" s="23">
        <v>3.8</v>
      </c>
      <c r="J682" s="23">
        <f>IF(MONTH('Call Data'!$F682)&lt;=6, YEAR('Call Data'!$F682), YEAR('Call Data'!$F682)+1)</f>
        <v>2024</v>
      </c>
      <c r="K682" s="23" t="str">
        <f>TEXT('Call Data'!$F682,"DDDD")</f>
        <v>Monday</v>
      </c>
      <c r="L682" s="23" t="s">
        <v>14</v>
      </c>
      <c r="M682" s="23">
        <f>ROUND('Call Data'!$I682,0)</f>
        <v>4</v>
      </c>
    </row>
    <row r="683" spans="1:13" ht="14.25" customHeight="1" x14ac:dyDescent="0.35">
      <c r="A683" s="23" t="s">
        <v>717</v>
      </c>
      <c r="B683" s="23" t="s">
        <v>21</v>
      </c>
      <c r="C683" s="23">
        <v>111</v>
      </c>
      <c r="D683" s="24" t="str" cm="1">
        <f t="array" ref="D683">_xlfn.IFS(CallData[[#This Row],[Duration]]&lt;=15,"Very short",CallData[[#This Row],[Duration]]&lt;=30,"Short",CallData[[#This Row],[Duration]]&lt;=60,"Medium",CallData[[#This Row],[Duration]]&gt;60,"Long")</f>
        <v>Long</v>
      </c>
      <c r="E683" s="24" t="s">
        <v>31</v>
      </c>
      <c r="F683" s="25">
        <v>45161</v>
      </c>
      <c r="G683" s="26">
        <v>120</v>
      </c>
      <c r="H683" s="26" t="str" cm="1">
        <f t="array" ref="H683">_xlfn.IFS(CallData[[#This Row],[Purchase Amount]]&lt;=50,"Low",CallData[[#This Row],[Purchase Amount]]&lt;=100,"Medium",CallData[[#This Row],[Purchase Amount]]&lt;=150,"High",CallData[[#This Row],[Purchase Amount]]&gt;150,"Very High")</f>
        <v>High</v>
      </c>
      <c r="I683" s="23">
        <v>1.8</v>
      </c>
      <c r="J683" s="23">
        <f>IF(MONTH('Call Data'!$F683)&lt;=6, YEAR('Call Data'!$F683), YEAR('Call Data'!$F683)+1)</f>
        <v>2024</v>
      </c>
      <c r="K683" s="23" t="str">
        <f>TEXT('Call Data'!$F683,"DDDD")</f>
        <v>Wednesday</v>
      </c>
      <c r="L683" s="23" t="s">
        <v>14</v>
      </c>
      <c r="M683" s="23">
        <f>ROUND('Call Data'!$I683,0)</f>
        <v>2</v>
      </c>
    </row>
    <row r="684" spans="1:13" ht="14.25" customHeight="1" x14ac:dyDescent="0.35">
      <c r="A684" s="23" t="s">
        <v>718</v>
      </c>
      <c r="B684" s="23" t="s">
        <v>23</v>
      </c>
      <c r="C684" s="23">
        <v>15</v>
      </c>
      <c r="D684" s="24" t="str" cm="1">
        <f t="array" ref="D684">_xlfn.IFS(CallData[[#This Row],[Duration]]&lt;=15,"Very short",CallData[[#This Row],[Duration]]&lt;=30,"Short",CallData[[#This Row],[Duration]]&lt;=60,"Medium",CallData[[#This Row],[Duration]]&gt;60,"Long")</f>
        <v>Very short</v>
      </c>
      <c r="E684" s="24" t="s">
        <v>31</v>
      </c>
      <c r="F684" s="25">
        <v>45161</v>
      </c>
      <c r="G684" s="26">
        <v>120</v>
      </c>
      <c r="H684" s="26" t="str" cm="1">
        <f t="array" ref="H684">_xlfn.IFS(CallData[[#This Row],[Purchase Amount]]&lt;=50,"Low",CallData[[#This Row],[Purchase Amount]]&lt;=100,"Medium",CallData[[#This Row],[Purchase Amount]]&lt;=150,"High",CallData[[#This Row],[Purchase Amount]]&gt;150,"Very High")</f>
        <v>High</v>
      </c>
      <c r="I684" s="23">
        <v>4.0999999999999996</v>
      </c>
      <c r="J684" s="23">
        <f>IF(MONTH('Call Data'!$F684)&lt;=6, YEAR('Call Data'!$F684), YEAR('Call Data'!$F684)+1)</f>
        <v>2024</v>
      </c>
      <c r="K684" s="23" t="str">
        <f>TEXT('Call Data'!$F684,"DDDD")</f>
        <v>Wednesday</v>
      </c>
      <c r="L684" s="23" t="s">
        <v>47</v>
      </c>
      <c r="M684" s="23">
        <f>ROUND('Call Data'!$I684,0)</f>
        <v>4</v>
      </c>
    </row>
    <row r="685" spans="1:13" ht="14.25" customHeight="1" x14ac:dyDescent="0.35">
      <c r="A685" s="23" t="s">
        <v>719</v>
      </c>
      <c r="B685" s="23" t="s">
        <v>40</v>
      </c>
      <c r="C685" s="23">
        <v>18</v>
      </c>
      <c r="D685" s="24" t="str" cm="1">
        <f t="array" ref="D685">_xlfn.IFS(CallData[[#This Row],[Duration]]&lt;=15,"Very short",CallData[[#This Row],[Duration]]&lt;=30,"Short",CallData[[#This Row],[Duration]]&lt;=60,"Medium",CallData[[#This Row],[Duration]]&gt;60,"Long")</f>
        <v>Short</v>
      </c>
      <c r="E685" s="24" t="s">
        <v>19</v>
      </c>
      <c r="F685" s="25">
        <v>45162</v>
      </c>
      <c r="G685" s="26">
        <v>40</v>
      </c>
      <c r="H685" s="26" t="str" cm="1">
        <f t="array" ref="H685">_xlfn.IFS(CallData[[#This Row],[Purchase Amount]]&lt;=50,"Low",CallData[[#This Row],[Purchase Amount]]&lt;=100,"Medium",CallData[[#This Row],[Purchase Amount]]&lt;=150,"High",CallData[[#This Row],[Purchase Amount]]&gt;150,"Very High")</f>
        <v>Low</v>
      </c>
      <c r="I685" s="23">
        <v>4.4000000000000004</v>
      </c>
      <c r="J685" s="23">
        <f>IF(MONTH('Call Data'!$F685)&lt;=6, YEAR('Call Data'!$F685), YEAR('Call Data'!$F685)+1)</f>
        <v>2024</v>
      </c>
      <c r="K685" s="23" t="str">
        <f>TEXT('Call Data'!$F685,"DDDD")</f>
        <v>Thursday</v>
      </c>
      <c r="L685" s="23" t="s">
        <v>47</v>
      </c>
      <c r="M685" s="23">
        <f>ROUND('Call Data'!$I685,0)</f>
        <v>4</v>
      </c>
    </row>
    <row r="686" spans="1:13" ht="14.25" customHeight="1" x14ac:dyDescent="0.35">
      <c r="A686" s="23" t="s">
        <v>720</v>
      </c>
      <c r="B686" s="23" t="s">
        <v>29</v>
      </c>
      <c r="C686" s="23">
        <v>146</v>
      </c>
      <c r="D686" s="24" t="str" cm="1">
        <f t="array" ref="D686">_xlfn.IFS(CallData[[#This Row],[Duration]]&lt;=15,"Very short",CallData[[#This Row],[Duration]]&lt;=30,"Short",CallData[[#This Row],[Duration]]&lt;=60,"Medium",CallData[[#This Row],[Duration]]&gt;60,"Long")</f>
        <v>Long</v>
      </c>
      <c r="E686" s="24" t="s">
        <v>24</v>
      </c>
      <c r="F686" s="25">
        <v>45162</v>
      </c>
      <c r="G686" s="26">
        <v>160</v>
      </c>
      <c r="H686" s="26" t="str" cm="1">
        <f t="array" ref="H686">_xlfn.IFS(CallData[[#This Row],[Purchase Amount]]&lt;=50,"Low",CallData[[#This Row],[Purchase Amount]]&lt;=100,"Medium",CallData[[#This Row],[Purchase Amount]]&lt;=150,"High",CallData[[#This Row],[Purchase Amount]]&gt;150,"Very High")</f>
        <v>Very High</v>
      </c>
      <c r="I686" s="23">
        <v>4.0999999999999996</v>
      </c>
      <c r="J686" s="23">
        <f>IF(MONTH('Call Data'!$F686)&lt;=6, YEAR('Call Data'!$F686), YEAR('Call Data'!$F686)+1)</f>
        <v>2024</v>
      </c>
      <c r="K686" s="23" t="str">
        <f>TEXT('Call Data'!$F686,"DDDD")</f>
        <v>Thursday</v>
      </c>
      <c r="L686" s="23" t="s">
        <v>25</v>
      </c>
      <c r="M686" s="23">
        <f>ROUND('Call Data'!$I686,0)</f>
        <v>4</v>
      </c>
    </row>
    <row r="687" spans="1:13" ht="14.25" customHeight="1" x14ac:dyDescent="0.35">
      <c r="A687" s="23" t="s">
        <v>721</v>
      </c>
      <c r="B687" s="23" t="s">
        <v>58</v>
      </c>
      <c r="C687" s="23">
        <v>73</v>
      </c>
      <c r="D687" s="24" t="str" cm="1">
        <f t="array" ref="D687">_xlfn.IFS(CallData[[#This Row],[Duration]]&lt;=15,"Very short",CallData[[#This Row],[Duration]]&lt;=30,"Short",CallData[[#This Row],[Duration]]&lt;=60,"Medium",CallData[[#This Row],[Duration]]&gt;60,"Long")</f>
        <v>Long</v>
      </c>
      <c r="E687" s="24" t="s">
        <v>31</v>
      </c>
      <c r="F687" s="25">
        <v>45163</v>
      </c>
      <c r="G687" s="26">
        <v>44</v>
      </c>
      <c r="H687" s="26" t="str" cm="1">
        <f t="array" ref="H687">_xlfn.IFS(CallData[[#This Row],[Purchase Amount]]&lt;=50,"Low",CallData[[#This Row],[Purchase Amount]]&lt;=100,"Medium",CallData[[#This Row],[Purchase Amount]]&lt;=150,"High",CallData[[#This Row],[Purchase Amount]]&gt;150,"Very High")</f>
        <v>Low</v>
      </c>
      <c r="I687" s="23">
        <v>3.8</v>
      </c>
      <c r="J687" s="23">
        <f>IF(MONTH('Call Data'!$F687)&lt;=6, YEAR('Call Data'!$F687), YEAR('Call Data'!$F687)+1)</f>
        <v>2024</v>
      </c>
      <c r="K687" s="23" t="str">
        <f>TEXT('Call Data'!$F687,"DDDD")</f>
        <v>Friday</v>
      </c>
      <c r="L687" s="23" t="s">
        <v>14</v>
      </c>
      <c r="M687" s="23">
        <f>ROUND('Call Data'!$I687,0)</f>
        <v>4</v>
      </c>
    </row>
    <row r="688" spans="1:13" ht="14.25" customHeight="1" x14ac:dyDescent="0.35">
      <c r="A688" s="23" t="s">
        <v>722</v>
      </c>
      <c r="B688" s="23" t="s">
        <v>21</v>
      </c>
      <c r="C688" s="23">
        <v>108</v>
      </c>
      <c r="D688" s="24" t="str" cm="1">
        <f t="array" ref="D688">_xlfn.IFS(CallData[[#This Row],[Duration]]&lt;=15,"Very short",CallData[[#This Row],[Duration]]&lt;=30,"Short",CallData[[#This Row],[Duration]]&lt;=60,"Medium",CallData[[#This Row],[Duration]]&gt;60,"Long")</f>
        <v>Long</v>
      </c>
      <c r="E688" s="24" t="s">
        <v>19</v>
      </c>
      <c r="F688" s="25">
        <v>45163</v>
      </c>
      <c r="G688" s="26">
        <v>80</v>
      </c>
      <c r="H688" s="26" t="str" cm="1">
        <f t="array" ref="H688">_xlfn.IFS(CallData[[#This Row],[Purchase Amount]]&lt;=50,"Low",CallData[[#This Row],[Purchase Amount]]&lt;=100,"Medium",CallData[[#This Row],[Purchase Amount]]&lt;=150,"High",CallData[[#This Row],[Purchase Amount]]&gt;150,"Very High")</f>
        <v>Medium</v>
      </c>
      <c r="I688" s="23">
        <v>4.3</v>
      </c>
      <c r="J688" s="23">
        <f>IF(MONTH('Call Data'!$F688)&lt;=6, YEAR('Call Data'!$F688), YEAR('Call Data'!$F688)+1)</f>
        <v>2024</v>
      </c>
      <c r="K688" s="23" t="str">
        <f>TEXT('Call Data'!$F688,"DDDD")</f>
        <v>Friday</v>
      </c>
      <c r="L688" s="23" t="s">
        <v>14</v>
      </c>
      <c r="M688" s="23">
        <f>ROUND('Call Data'!$I688,0)</f>
        <v>4</v>
      </c>
    </row>
    <row r="689" spans="1:13" ht="14.25" customHeight="1" x14ac:dyDescent="0.35">
      <c r="A689" s="23" t="s">
        <v>723</v>
      </c>
      <c r="B689" s="23" t="s">
        <v>50</v>
      </c>
      <c r="C689" s="23">
        <v>52</v>
      </c>
      <c r="D689" s="24" t="str" cm="1">
        <f t="array" ref="D689">_xlfn.IFS(CallData[[#This Row],[Duration]]&lt;=15,"Very short",CallData[[#This Row],[Duration]]&lt;=30,"Short",CallData[[#This Row],[Duration]]&lt;=60,"Medium",CallData[[#This Row],[Duration]]&gt;60,"Long")</f>
        <v>Medium</v>
      </c>
      <c r="E689" s="24" t="s">
        <v>19</v>
      </c>
      <c r="F689" s="25">
        <v>45164</v>
      </c>
      <c r="G689" s="26">
        <v>66</v>
      </c>
      <c r="H689" s="26" t="str" cm="1">
        <f t="array" ref="H689">_xlfn.IFS(CallData[[#This Row],[Purchase Amount]]&lt;=50,"Low",CallData[[#This Row],[Purchase Amount]]&lt;=100,"Medium",CallData[[#This Row],[Purchase Amount]]&lt;=150,"High",CallData[[#This Row],[Purchase Amount]]&gt;150,"Very High")</f>
        <v>Medium</v>
      </c>
      <c r="I689" s="23">
        <v>4.5</v>
      </c>
      <c r="J689" s="23">
        <f>IF(MONTH('Call Data'!$F689)&lt;=6, YEAR('Call Data'!$F689), YEAR('Call Data'!$F689)+1)</f>
        <v>2024</v>
      </c>
      <c r="K689" s="23" t="str">
        <f>TEXT('Call Data'!$F689,"DDDD")</f>
        <v>Saturday</v>
      </c>
      <c r="L689" s="23" t="s">
        <v>27</v>
      </c>
      <c r="M689" s="23">
        <f>ROUND('Call Data'!$I689,0)</f>
        <v>5</v>
      </c>
    </row>
    <row r="690" spans="1:13" ht="14.25" customHeight="1" x14ac:dyDescent="0.35">
      <c r="A690" s="23" t="s">
        <v>724</v>
      </c>
      <c r="B690" s="23" t="s">
        <v>68</v>
      </c>
      <c r="C690" s="23">
        <v>165</v>
      </c>
      <c r="D690" s="24" t="str" cm="1">
        <f t="array" ref="D690">_xlfn.IFS(CallData[[#This Row],[Duration]]&lt;=15,"Very short",CallData[[#This Row],[Duration]]&lt;=30,"Short",CallData[[#This Row],[Duration]]&lt;=60,"Medium",CallData[[#This Row],[Duration]]&gt;60,"Long")</f>
        <v>Long</v>
      </c>
      <c r="E690" s="24" t="s">
        <v>35</v>
      </c>
      <c r="F690" s="25">
        <v>45164</v>
      </c>
      <c r="G690" s="26">
        <v>82</v>
      </c>
      <c r="H690" s="26" t="str" cm="1">
        <f t="array" ref="H690">_xlfn.IFS(CallData[[#This Row],[Purchase Amount]]&lt;=50,"Low",CallData[[#This Row],[Purchase Amount]]&lt;=100,"Medium",CallData[[#This Row],[Purchase Amount]]&lt;=150,"High",CallData[[#This Row],[Purchase Amount]]&gt;150,"Very High")</f>
        <v>Medium</v>
      </c>
      <c r="I690" s="23">
        <v>3.4</v>
      </c>
      <c r="J690" s="23">
        <f>IF(MONTH('Call Data'!$F690)&lt;=6, YEAR('Call Data'!$F690), YEAR('Call Data'!$F690)+1)</f>
        <v>2024</v>
      </c>
      <c r="K690" s="23" t="str">
        <f>TEXT('Call Data'!$F690,"DDDD")</f>
        <v>Saturday</v>
      </c>
      <c r="L690" s="23" t="s">
        <v>25</v>
      </c>
      <c r="M690" s="23">
        <f>ROUND('Call Data'!$I690,0)</f>
        <v>3</v>
      </c>
    </row>
    <row r="691" spans="1:13" ht="14.25" customHeight="1" x14ac:dyDescent="0.35">
      <c r="A691" s="23" t="s">
        <v>725</v>
      </c>
      <c r="B691" s="23" t="s">
        <v>29</v>
      </c>
      <c r="C691" s="23">
        <v>104</v>
      </c>
      <c r="D691" s="24" t="str" cm="1">
        <f t="array" ref="D691">_xlfn.IFS(CallData[[#This Row],[Duration]]&lt;=15,"Very short",CallData[[#This Row],[Duration]]&lt;=30,"Short",CallData[[#This Row],[Duration]]&lt;=60,"Medium",CallData[[#This Row],[Duration]]&gt;60,"Long")</f>
        <v>Long</v>
      </c>
      <c r="E691" s="24" t="s">
        <v>31</v>
      </c>
      <c r="F691" s="25">
        <v>45164</v>
      </c>
      <c r="G691" s="26">
        <v>66</v>
      </c>
      <c r="H691" s="26" t="str" cm="1">
        <f t="array" ref="H691">_xlfn.IFS(CallData[[#This Row],[Purchase Amount]]&lt;=50,"Low",CallData[[#This Row],[Purchase Amount]]&lt;=100,"Medium",CallData[[#This Row],[Purchase Amount]]&lt;=150,"High",CallData[[#This Row],[Purchase Amount]]&gt;150,"Very High")</f>
        <v>Medium</v>
      </c>
      <c r="I691" s="23">
        <v>4.8</v>
      </c>
      <c r="J691" s="23">
        <f>IF(MONTH('Call Data'!$F691)&lt;=6, YEAR('Call Data'!$F691), YEAR('Call Data'!$F691)+1)</f>
        <v>2024</v>
      </c>
      <c r="K691" s="23" t="str">
        <f>TEXT('Call Data'!$F691,"DDDD")</f>
        <v>Saturday</v>
      </c>
      <c r="L691" s="23" t="s">
        <v>14</v>
      </c>
      <c r="M691" s="23">
        <f>ROUND('Call Data'!$I691,0)</f>
        <v>5</v>
      </c>
    </row>
    <row r="692" spans="1:13" ht="14.25" customHeight="1" x14ac:dyDescent="0.35">
      <c r="A692" s="23" t="s">
        <v>726</v>
      </c>
      <c r="B692" s="23" t="s">
        <v>58</v>
      </c>
      <c r="C692" s="23">
        <v>131</v>
      </c>
      <c r="D692" s="24" t="str" cm="1">
        <f t="array" ref="D692">_xlfn.IFS(CallData[[#This Row],[Duration]]&lt;=15,"Very short",CallData[[#This Row],[Duration]]&lt;=30,"Short",CallData[[#This Row],[Duration]]&lt;=60,"Medium",CallData[[#This Row],[Duration]]&gt;60,"Long")</f>
        <v>Long</v>
      </c>
      <c r="E692" s="24" t="s">
        <v>24</v>
      </c>
      <c r="F692" s="25">
        <v>45164</v>
      </c>
      <c r="G692" s="26">
        <v>92</v>
      </c>
      <c r="H692" s="26" t="str" cm="1">
        <f t="array" ref="H692">_xlfn.IFS(CallData[[#This Row],[Purchase Amount]]&lt;=50,"Low",CallData[[#This Row],[Purchase Amount]]&lt;=100,"Medium",CallData[[#This Row],[Purchase Amount]]&lt;=150,"High",CallData[[#This Row],[Purchase Amount]]&gt;150,"Very High")</f>
        <v>Medium</v>
      </c>
      <c r="I692" s="23">
        <v>4.9000000000000004</v>
      </c>
      <c r="J692" s="23">
        <f>IF(MONTH('Call Data'!$F692)&lt;=6, YEAR('Call Data'!$F692), YEAR('Call Data'!$F692)+1)</f>
        <v>2024</v>
      </c>
      <c r="K692" s="23" t="str">
        <f>TEXT('Call Data'!$F692,"DDDD")</f>
        <v>Saturday</v>
      </c>
      <c r="L692" s="23" t="s">
        <v>25</v>
      </c>
      <c r="M692" s="23">
        <f>ROUND('Call Data'!$I692,0)</f>
        <v>5</v>
      </c>
    </row>
    <row r="693" spans="1:13" ht="14.25" customHeight="1" x14ac:dyDescent="0.35">
      <c r="A693" s="23" t="s">
        <v>727</v>
      </c>
      <c r="B693" s="23" t="s">
        <v>55</v>
      </c>
      <c r="C693" s="23">
        <v>80</v>
      </c>
      <c r="D693" s="24" t="str" cm="1">
        <f t="array" ref="D693">_xlfn.IFS(CallData[[#This Row],[Duration]]&lt;=15,"Very short",CallData[[#This Row],[Duration]]&lt;=30,"Short",CallData[[#This Row],[Duration]]&lt;=60,"Medium",CallData[[#This Row],[Duration]]&gt;60,"Long")</f>
        <v>Long</v>
      </c>
      <c r="E693" s="24" t="s">
        <v>35</v>
      </c>
      <c r="F693" s="25">
        <v>45165</v>
      </c>
      <c r="G693" s="26">
        <v>104</v>
      </c>
      <c r="H693" s="26" t="str" cm="1">
        <f t="array" ref="H693">_xlfn.IFS(CallData[[#This Row],[Purchase Amount]]&lt;=50,"Low",CallData[[#This Row],[Purchase Amount]]&lt;=100,"Medium",CallData[[#This Row],[Purchase Amount]]&lt;=150,"High",CallData[[#This Row],[Purchase Amount]]&gt;150,"Very High")</f>
        <v>High</v>
      </c>
      <c r="I693" s="23">
        <v>4.7</v>
      </c>
      <c r="J693" s="23">
        <f>IF(MONTH('Call Data'!$F693)&lt;=6, YEAR('Call Data'!$F693), YEAR('Call Data'!$F693)+1)</f>
        <v>2024</v>
      </c>
      <c r="K693" s="23" t="str">
        <f>TEXT('Call Data'!$F693,"DDDD")</f>
        <v>Sunday</v>
      </c>
      <c r="L693" s="23" t="s">
        <v>14</v>
      </c>
      <c r="M693" s="23">
        <f>ROUND('Call Data'!$I693,0)</f>
        <v>5</v>
      </c>
    </row>
    <row r="694" spans="1:13" ht="14.25" customHeight="1" x14ac:dyDescent="0.35">
      <c r="A694" s="23" t="s">
        <v>728</v>
      </c>
      <c r="B694" s="23" t="s">
        <v>23</v>
      </c>
      <c r="C694" s="23">
        <v>49</v>
      </c>
      <c r="D694" s="24" t="str" cm="1">
        <f t="array" ref="D694">_xlfn.IFS(CallData[[#This Row],[Duration]]&lt;=15,"Very short",CallData[[#This Row],[Duration]]&lt;=30,"Short",CallData[[#This Row],[Duration]]&lt;=60,"Medium",CallData[[#This Row],[Duration]]&gt;60,"Long")</f>
        <v>Medium</v>
      </c>
      <c r="E694" s="24" t="s">
        <v>31</v>
      </c>
      <c r="F694" s="25">
        <v>45165</v>
      </c>
      <c r="G694" s="26">
        <v>105</v>
      </c>
      <c r="H694" s="26" t="str" cm="1">
        <f t="array" ref="H694">_xlfn.IFS(CallData[[#This Row],[Purchase Amount]]&lt;=50,"Low",CallData[[#This Row],[Purchase Amount]]&lt;=100,"Medium",CallData[[#This Row],[Purchase Amount]]&lt;=150,"High",CallData[[#This Row],[Purchase Amount]]&gt;150,"Very High")</f>
        <v>High</v>
      </c>
      <c r="I694" s="23">
        <v>3.3</v>
      </c>
      <c r="J694" s="23">
        <f>IF(MONTH('Call Data'!$F694)&lt;=6, YEAR('Call Data'!$F694), YEAR('Call Data'!$F694)+1)</f>
        <v>2024</v>
      </c>
      <c r="K694" s="23" t="str">
        <f>TEXT('Call Data'!$F694,"DDDD")</f>
        <v>Sunday</v>
      </c>
      <c r="L694" s="23" t="s">
        <v>27</v>
      </c>
      <c r="M694" s="23">
        <f>ROUND('Call Data'!$I694,0)</f>
        <v>3</v>
      </c>
    </row>
    <row r="695" spans="1:13" ht="14.25" customHeight="1" x14ac:dyDescent="0.35">
      <c r="A695" s="23" t="s">
        <v>729</v>
      </c>
      <c r="B695" s="23" t="s">
        <v>68</v>
      </c>
      <c r="C695" s="23">
        <v>73</v>
      </c>
      <c r="D695" s="24" t="str" cm="1">
        <f t="array" ref="D695">_xlfn.IFS(CallData[[#This Row],[Duration]]&lt;=15,"Very short",CallData[[#This Row],[Duration]]&lt;=30,"Short",CallData[[#This Row],[Duration]]&lt;=60,"Medium",CallData[[#This Row],[Duration]]&gt;60,"Long")</f>
        <v>Long</v>
      </c>
      <c r="E695" s="24" t="s">
        <v>31</v>
      </c>
      <c r="F695" s="25">
        <v>45165</v>
      </c>
      <c r="G695" s="26">
        <v>100</v>
      </c>
      <c r="H695" s="26" t="str" cm="1">
        <f t="array" ref="H695">_xlfn.IFS(CallData[[#This Row],[Purchase Amount]]&lt;=50,"Low",CallData[[#This Row],[Purchase Amount]]&lt;=100,"Medium",CallData[[#This Row],[Purchase Amount]]&lt;=150,"High",CallData[[#This Row],[Purchase Amount]]&gt;150,"Very High")</f>
        <v>Medium</v>
      </c>
      <c r="I695" s="23">
        <v>2.8</v>
      </c>
      <c r="J695" s="23">
        <f>IF(MONTH('Call Data'!$F695)&lt;=6, YEAR('Call Data'!$F695), YEAR('Call Data'!$F695)+1)</f>
        <v>2024</v>
      </c>
      <c r="K695" s="23" t="str">
        <f>TEXT('Call Data'!$F695,"DDDD")</f>
        <v>Sunday</v>
      </c>
      <c r="L695" s="23" t="s">
        <v>14</v>
      </c>
      <c r="M695" s="23">
        <f>ROUND('Call Data'!$I695,0)</f>
        <v>3</v>
      </c>
    </row>
    <row r="696" spans="1:13" ht="14.25" customHeight="1" x14ac:dyDescent="0.35">
      <c r="A696" s="23" t="s">
        <v>730</v>
      </c>
      <c r="B696" s="23" t="s">
        <v>29</v>
      </c>
      <c r="C696" s="23">
        <v>117</v>
      </c>
      <c r="D696" s="24" t="str" cm="1">
        <f t="array" ref="D696">_xlfn.IFS(CallData[[#This Row],[Duration]]&lt;=15,"Very short",CallData[[#This Row],[Duration]]&lt;=30,"Short",CallData[[#This Row],[Duration]]&lt;=60,"Medium",CallData[[#This Row],[Duration]]&gt;60,"Long")</f>
        <v>Long</v>
      </c>
      <c r="E696" s="24" t="s">
        <v>35</v>
      </c>
      <c r="F696" s="25">
        <v>45165</v>
      </c>
      <c r="G696" s="26">
        <v>90</v>
      </c>
      <c r="H696" s="26" t="str" cm="1">
        <f t="array" ref="H696">_xlfn.IFS(CallData[[#This Row],[Purchase Amount]]&lt;=50,"Low",CallData[[#This Row],[Purchase Amount]]&lt;=100,"Medium",CallData[[#This Row],[Purchase Amount]]&lt;=150,"High",CallData[[#This Row],[Purchase Amount]]&gt;150,"Very High")</f>
        <v>Medium</v>
      </c>
      <c r="I696" s="23">
        <v>4.0999999999999996</v>
      </c>
      <c r="J696" s="23">
        <f>IF(MONTH('Call Data'!$F696)&lt;=6, YEAR('Call Data'!$F696), YEAR('Call Data'!$F696)+1)</f>
        <v>2024</v>
      </c>
      <c r="K696" s="23" t="str">
        <f>TEXT('Call Data'!$F696,"DDDD")</f>
        <v>Sunday</v>
      </c>
      <c r="L696" s="23" t="s">
        <v>14</v>
      </c>
      <c r="M696" s="23">
        <f>ROUND('Call Data'!$I696,0)</f>
        <v>4</v>
      </c>
    </row>
    <row r="697" spans="1:13" ht="14.25" customHeight="1" x14ac:dyDescent="0.35">
      <c r="A697" s="23" t="s">
        <v>731</v>
      </c>
      <c r="B697" s="23" t="s">
        <v>18</v>
      </c>
      <c r="C697" s="23">
        <v>38</v>
      </c>
      <c r="D697" s="24" t="str" cm="1">
        <f t="array" ref="D697">_xlfn.IFS(CallData[[#This Row],[Duration]]&lt;=15,"Very short",CallData[[#This Row],[Duration]]&lt;=30,"Short",CallData[[#This Row],[Duration]]&lt;=60,"Medium",CallData[[#This Row],[Duration]]&gt;60,"Long")</f>
        <v>Medium</v>
      </c>
      <c r="E697" s="24" t="s">
        <v>13</v>
      </c>
      <c r="F697" s="25">
        <v>45165</v>
      </c>
      <c r="G697" s="26">
        <v>110</v>
      </c>
      <c r="H697" s="26" t="str" cm="1">
        <f t="array" ref="H697">_xlfn.IFS(CallData[[#This Row],[Purchase Amount]]&lt;=50,"Low",CallData[[#This Row],[Purchase Amount]]&lt;=100,"Medium",CallData[[#This Row],[Purchase Amount]]&lt;=150,"High",CallData[[#This Row],[Purchase Amount]]&gt;150,"Very High")</f>
        <v>High</v>
      </c>
      <c r="I697" s="23">
        <v>3.5</v>
      </c>
      <c r="J697" s="23">
        <f>IF(MONTH('Call Data'!$F697)&lt;=6, YEAR('Call Data'!$F697), YEAR('Call Data'!$F697)+1)</f>
        <v>2024</v>
      </c>
      <c r="K697" s="23" t="str">
        <f>TEXT('Call Data'!$F697,"DDDD")</f>
        <v>Sunday</v>
      </c>
      <c r="L697" s="23" t="s">
        <v>27</v>
      </c>
      <c r="M697" s="23">
        <f>ROUND('Call Data'!$I697,0)</f>
        <v>4</v>
      </c>
    </row>
    <row r="698" spans="1:13" ht="14.25" customHeight="1" x14ac:dyDescent="0.35">
      <c r="A698" s="23" t="s">
        <v>732</v>
      </c>
      <c r="B698" s="23" t="s">
        <v>50</v>
      </c>
      <c r="C698" s="23">
        <v>109</v>
      </c>
      <c r="D698" s="24" t="str" cm="1">
        <f t="array" ref="D698">_xlfn.IFS(CallData[[#This Row],[Duration]]&lt;=15,"Very short",CallData[[#This Row],[Duration]]&lt;=30,"Short",CallData[[#This Row],[Duration]]&lt;=60,"Medium",CallData[[#This Row],[Duration]]&gt;60,"Long")</f>
        <v>Long</v>
      </c>
      <c r="E698" s="24" t="s">
        <v>35</v>
      </c>
      <c r="F698" s="25">
        <v>45167</v>
      </c>
      <c r="G698" s="26">
        <v>68</v>
      </c>
      <c r="H698" s="26" t="str" cm="1">
        <f t="array" ref="H698">_xlfn.IFS(CallData[[#This Row],[Purchase Amount]]&lt;=50,"Low",CallData[[#This Row],[Purchase Amount]]&lt;=100,"Medium",CallData[[#This Row],[Purchase Amount]]&lt;=150,"High",CallData[[#This Row],[Purchase Amount]]&gt;150,"Very High")</f>
        <v>Medium</v>
      </c>
      <c r="I698" s="23">
        <v>2.2999999999999998</v>
      </c>
      <c r="J698" s="23">
        <f>IF(MONTH('Call Data'!$F698)&lt;=6, YEAR('Call Data'!$F698), YEAR('Call Data'!$F698)+1)</f>
        <v>2024</v>
      </c>
      <c r="K698" s="23" t="str">
        <f>TEXT('Call Data'!$F698,"DDDD")</f>
        <v>Tuesday</v>
      </c>
      <c r="L698" s="23" t="s">
        <v>14</v>
      </c>
      <c r="M698" s="23">
        <f>ROUND('Call Data'!$I698,0)</f>
        <v>2</v>
      </c>
    </row>
    <row r="699" spans="1:13" ht="14.25" customHeight="1" x14ac:dyDescent="0.35">
      <c r="A699" s="23" t="s">
        <v>733</v>
      </c>
      <c r="B699" s="23" t="s">
        <v>23</v>
      </c>
      <c r="C699" s="23">
        <v>70</v>
      </c>
      <c r="D699" s="24" t="str" cm="1">
        <f t="array" ref="D699">_xlfn.IFS(CallData[[#This Row],[Duration]]&lt;=15,"Very short",CallData[[#This Row],[Duration]]&lt;=30,"Short",CallData[[#This Row],[Duration]]&lt;=60,"Medium",CallData[[#This Row],[Duration]]&gt;60,"Long")</f>
        <v>Long</v>
      </c>
      <c r="E699" s="24" t="s">
        <v>19</v>
      </c>
      <c r="F699" s="25">
        <v>45168</v>
      </c>
      <c r="G699" s="26">
        <v>210</v>
      </c>
      <c r="H699" s="26" t="str" cm="1">
        <f t="array" ref="H699">_xlfn.IFS(CallData[[#This Row],[Purchase Amount]]&lt;=50,"Low",CallData[[#This Row],[Purchase Amount]]&lt;=100,"Medium",CallData[[#This Row],[Purchase Amount]]&lt;=150,"High",CallData[[#This Row],[Purchase Amount]]&gt;150,"Very High")</f>
        <v>Very High</v>
      </c>
      <c r="I699" s="23">
        <v>4.0999999999999996</v>
      </c>
      <c r="J699" s="23">
        <f>IF(MONTH('Call Data'!$F699)&lt;=6, YEAR('Call Data'!$F699), YEAR('Call Data'!$F699)+1)</f>
        <v>2024</v>
      </c>
      <c r="K699" s="23" t="str">
        <f>TEXT('Call Data'!$F699,"DDDD")</f>
        <v>Wednesday</v>
      </c>
      <c r="L699" s="23" t="s">
        <v>14</v>
      </c>
      <c r="M699" s="23">
        <f>ROUND('Call Data'!$I699,0)</f>
        <v>4</v>
      </c>
    </row>
    <row r="700" spans="1:13" ht="14.25" customHeight="1" x14ac:dyDescent="0.35">
      <c r="A700" s="23" t="s">
        <v>734</v>
      </c>
      <c r="B700" s="23" t="s">
        <v>16</v>
      </c>
      <c r="C700" s="23">
        <v>51</v>
      </c>
      <c r="D700" s="24" t="str" cm="1">
        <f t="array" ref="D700">_xlfn.IFS(CallData[[#This Row],[Duration]]&lt;=15,"Very short",CallData[[#This Row],[Duration]]&lt;=30,"Short",CallData[[#This Row],[Duration]]&lt;=60,"Medium",CallData[[#This Row],[Duration]]&gt;60,"Long")</f>
        <v>Medium</v>
      </c>
      <c r="E700" s="24" t="s">
        <v>13</v>
      </c>
      <c r="F700" s="25">
        <v>45168</v>
      </c>
      <c r="G700" s="26">
        <v>111</v>
      </c>
      <c r="H700" s="26" t="str" cm="1">
        <f t="array" ref="H700">_xlfn.IFS(CallData[[#This Row],[Purchase Amount]]&lt;=50,"Low",CallData[[#This Row],[Purchase Amount]]&lt;=100,"Medium",CallData[[#This Row],[Purchase Amount]]&lt;=150,"High",CallData[[#This Row],[Purchase Amount]]&gt;150,"Very High")</f>
        <v>High</v>
      </c>
      <c r="I700" s="23">
        <v>4.3</v>
      </c>
      <c r="J700" s="23">
        <f>IF(MONTH('Call Data'!$F700)&lt;=6, YEAR('Call Data'!$F700), YEAR('Call Data'!$F700)+1)</f>
        <v>2024</v>
      </c>
      <c r="K700" s="23" t="str">
        <f>TEXT('Call Data'!$F700,"DDDD")</f>
        <v>Wednesday</v>
      </c>
      <c r="L700" s="23" t="s">
        <v>27</v>
      </c>
      <c r="M700" s="23">
        <f>ROUND('Call Data'!$I700,0)</f>
        <v>4</v>
      </c>
    </row>
    <row r="701" spans="1:13" ht="14.25" customHeight="1" x14ac:dyDescent="0.35">
      <c r="A701" s="23" t="s">
        <v>735</v>
      </c>
      <c r="B701" s="23" t="s">
        <v>16</v>
      </c>
      <c r="C701" s="23">
        <v>100</v>
      </c>
      <c r="D701" s="24" t="str" cm="1">
        <f t="array" ref="D701">_xlfn.IFS(CallData[[#This Row],[Duration]]&lt;=15,"Very short",CallData[[#This Row],[Duration]]&lt;=30,"Short",CallData[[#This Row],[Duration]]&lt;=60,"Medium",CallData[[#This Row],[Duration]]&gt;60,"Long")</f>
        <v>Long</v>
      </c>
      <c r="E701" s="24" t="s">
        <v>19</v>
      </c>
      <c r="F701" s="25">
        <v>45169</v>
      </c>
      <c r="G701" s="26">
        <v>45</v>
      </c>
      <c r="H701" s="26" t="str" cm="1">
        <f t="array" ref="H701">_xlfn.IFS(CallData[[#This Row],[Purchase Amount]]&lt;=50,"Low",CallData[[#This Row],[Purchase Amount]]&lt;=100,"Medium",CallData[[#This Row],[Purchase Amount]]&lt;=150,"High",CallData[[#This Row],[Purchase Amount]]&gt;150,"Very High")</f>
        <v>Low</v>
      </c>
      <c r="I701" s="23">
        <v>4.9000000000000004</v>
      </c>
      <c r="J701" s="23">
        <f>IF(MONTH('Call Data'!$F701)&lt;=6, YEAR('Call Data'!$F701), YEAR('Call Data'!$F701)+1)</f>
        <v>2024</v>
      </c>
      <c r="K701" s="23" t="str">
        <f>TEXT('Call Data'!$F701,"DDDD")</f>
        <v>Thursday</v>
      </c>
      <c r="L701" s="23" t="s">
        <v>14</v>
      </c>
      <c r="M701" s="23">
        <f>ROUND('Call Data'!$I701,0)</f>
        <v>5</v>
      </c>
    </row>
    <row r="702" spans="1:13" ht="14.25" customHeight="1" x14ac:dyDescent="0.35">
      <c r="A702" s="23" t="s">
        <v>736</v>
      </c>
      <c r="B702" s="23" t="s">
        <v>38</v>
      </c>
      <c r="C702" s="23">
        <v>124</v>
      </c>
      <c r="D702" s="24" t="str" cm="1">
        <f t="array" ref="D702">_xlfn.IFS(CallData[[#This Row],[Duration]]&lt;=15,"Very short",CallData[[#This Row],[Duration]]&lt;=30,"Short",CallData[[#This Row],[Duration]]&lt;=60,"Medium",CallData[[#This Row],[Duration]]&gt;60,"Long")</f>
        <v>Long</v>
      </c>
      <c r="E702" s="24" t="s">
        <v>13</v>
      </c>
      <c r="F702" s="25">
        <v>45170</v>
      </c>
      <c r="G702" s="26">
        <v>132</v>
      </c>
      <c r="H702" s="26" t="str" cm="1">
        <f t="array" ref="H702">_xlfn.IFS(CallData[[#This Row],[Purchase Amount]]&lt;=50,"Low",CallData[[#This Row],[Purchase Amount]]&lt;=100,"Medium",CallData[[#This Row],[Purchase Amount]]&lt;=150,"High",CallData[[#This Row],[Purchase Amount]]&gt;150,"Very High")</f>
        <v>High</v>
      </c>
      <c r="I702" s="23">
        <v>4</v>
      </c>
      <c r="J702" s="23">
        <f>IF(MONTH('Call Data'!$F702)&lt;=6, YEAR('Call Data'!$F702), YEAR('Call Data'!$F702)+1)</f>
        <v>2024</v>
      </c>
      <c r="K702" s="23" t="str">
        <f>TEXT('Call Data'!$F702,"DDDD")</f>
        <v>Friday</v>
      </c>
      <c r="L702" s="23" t="s">
        <v>25</v>
      </c>
      <c r="M702" s="23">
        <f>ROUND('Call Data'!$I702,0)</f>
        <v>4</v>
      </c>
    </row>
    <row r="703" spans="1:13" ht="14.25" customHeight="1" x14ac:dyDescent="0.35">
      <c r="A703" s="23" t="s">
        <v>737</v>
      </c>
      <c r="B703" s="23" t="s">
        <v>12</v>
      </c>
      <c r="C703" s="23">
        <v>143</v>
      </c>
      <c r="D703" s="24" t="str" cm="1">
        <f t="array" ref="D703">_xlfn.IFS(CallData[[#This Row],[Duration]]&lt;=15,"Very short",CallData[[#This Row],[Duration]]&lt;=30,"Short",CallData[[#This Row],[Duration]]&lt;=60,"Medium",CallData[[#This Row],[Duration]]&gt;60,"Long")</f>
        <v>Long</v>
      </c>
      <c r="E703" s="24" t="s">
        <v>35</v>
      </c>
      <c r="F703" s="25">
        <v>45170</v>
      </c>
      <c r="G703" s="26">
        <v>20</v>
      </c>
      <c r="H703" s="26" t="str" cm="1">
        <f t="array" ref="H703">_xlfn.IFS(CallData[[#This Row],[Purchase Amount]]&lt;=50,"Low",CallData[[#This Row],[Purchase Amount]]&lt;=100,"Medium",CallData[[#This Row],[Purchase Amount]]&lt;=150,"High",CallData[[#This Row],[Purchase Amount]]&gt;150,"Very High")</f>
        <v>Low</v>
      </c>
      <c r="I703" s="23">
        <v>4.7</v>
      </c>
      <c r="J703" s="23">
        <f>IF(MONTH('Call Data'!$F703)&lt;=6, YEAR('Call Data'!$F703), YEAR('Call Data'!$F703)+1)</f>
        <v>2024</v>
      </c>
      <c r="K703" s="23" t="str">
        <f>TEXT('Call Data'!$F703,"DDDD")</f>
        <v>Friday</v>
      </c>
      <c r="L703" s="23" t="s">
        <v>25</v>
      </c>
      <c r="M703" s="23">
        <f>ROUND('Call Data'!$I703,0)</f>
        <v>5</v>
      </c>
    </row>
    <row r="704" spans="1:13" ht="14.25" customHeight="1" x14ac:dyDescent="0.35">
      <c r="A704" s="23" t="s">
        <v>738</v>
      </c>
      <c r="B704" s="23" t="s">
        <v>34</v>
      </c>
      <c r="C704" s="23">
        <v>96</v>
      </c>
      <c r="D704" s="24" t="str" cm="1">
        <f t="array" ref="D704">_xlfn.IFS(CallData[[#This Row],[Duration]]&lt;=15,"Very short",CallData[[#This Row],[Duration]]&lt;=30,"Short",CallData[[#This Row],[Duration]]&lt;=60,"Medium",CallData[[#This Row],[Duration]]&gt;60,"Long")</f>
        <v>Long</v>
      </c>
      <c r="E704" s="24" t="s">
        <v>31</v>
      </c>
      <c r="F704" s="25">
        <v>45170</v>
      </c>
      <c r="G704" s="26">
        <v>36</v>
      </c>
      <c r="H704" s="26" t="str" cm="1">
        <f t="array" ref="H704">_xlfn.IFS(CallData[[#This Row],[Purchase Amount]]&lt;=50,"Low",CallData[[#This Row],[Purchase Amount]]&lt;=100,"Medium",CallData[[#This Row],[Purchase Amount]]&lt;=150,"High",CallData[[#This Row],[Purchase Amount]]&gt;150,"Very High")</f>
        <v>Low</v>
      </c>
      <c r="I704" s="23">
        <v>3.4</v>
      </c>
      <c r="J704" s="23">
        <f>IF(MONTH('Call Data'!$F704)&lt;=6, YEAR('Call Data'!$F704), YEAR('Call Data'!$F704)+1)</f>
        <v>2024</v>
      </c>
      <c r="K704" s="23" t="str">
        <f>TEXT('Call Data'!$F704,"DDDD")</f>
        <v>Friday</v>
      </c>
      <c r="L704" s="23" t="s">
        <v>14</v>
      </c>
      <c r="M704" s="23">
        <f>ROUND('Call Data'!$I704,0)</f>
        <v>3</v>
      </c>
    </row>
    <row r="705" spans="1:13" ht="14.25" customHeight="1" x14ac:dyDescent="0.35">
      <c r="A705" s="23" t="s">
        <v>739</v>
      </c>
      <c r="B705" s="23" t="s">
        <v>68</v>
      </c>
      <c r="C705" s="23">
        <v>84</v>
      </c>
      <c r="D705" s="24" t="str" cm="1">
        <f t="array" ref="D705">_xlfn.IFS(CallData[[#This Row],[Duration]]&lt;=15,"Very short",CallData[[#This Row],[Duration]]&lt;=30,"Short",CallData[[#This Row],[Duration]]&lt;=60,"Medium",CallData[[#This Row],[Duration]]&gt;60,"Long")</f>
        <v>Long</v>
      </c>
      <c r="E705" s="24" t="s">
        <v>19</v>
      </c>
      <c r="F705" s="25">
        <v>45172</v>
      </c>
      <c r="G705" s="26">
        <v>72</v>
      </c>
      <c r="H705" s="26" t="str" cm="1">
        <f t="array" ref="H705">_xlfn.IFS(CallData[[#This Row],[Purchase Amount]]&lt;=50,"Low",CallData[[#This Row],[Purchase Amount]]&lt;=100,"Medium",CallData[[#This Row],[Purchase Amount]]&lt;=150,"High",CallData[[#This Row],[Purchase Amount]]&gt;150,"Very High")</f>
        <v>Medium</v>
      </c>
      <c r="I705" s="23">
        <v>4</v>
      </c>
      <c r="J705" s="23">
        <f>IF(MONTH('Call Data'!$F705)&lt;=6, YEAR('Call Data'!$F705), YEAR('Call Data'!$F705)+1)</f>
        <v>2024</v>
      </c>
      <c r="K705" s="23" t="str">
        <f>TEXT('Call Data'!$F705,"DDDD")</f>
        <v>Sunday</v>
      </c>
      <c r="L705" s="23" t="s">
        <v>14</v>
      </c>
      <c r="M705" s="23">
        <f>ROUND('Call Data'!$I705,0)</f>
        <v>4</v>
      </c>
    </row>
    <row r="706" spans="1:13" ht="14.25" customHeight="1" x14ac:dyDescent="0.35">
      <c r="A706" s="23" t="s">
        <v>740</v>
      </c>
      <c r="B706" s="23" t="s">
        <v>46</v>
      </c>
      <c r="C706" s="23">
        <v>111</v>
      </c>
      <c r="D706" s="24" t="str" cm="1">
        <f t="array" ref="D706">_xlfn.IFS(CallData[[#This Row],[Duration]]&lt;=15,"Very short",CallData[[#This Row],[Duration]]&lt;=30,"Short",CallData[[#This Row],[Duration]]&lt;=60,"Medium",CallData[[#This Row],[Duration]]&gt;60,"Long")</f>
        <v>Long</v>
      </c>
      <c r="E706" s="24" t="s">
        <v>19</v>
      </c>
      <c r="F706" s="25">
        <v>45172</v>
      </c>
      <c r="G706" s="26">
        <v>63</v>
      </c>
      <c r="H706" s="26" t="str" cm="1">
        <f t="array" ref="H706">_xlfn.IFS(CallData[[#This Row],[Purchase Amount]]&lt;=50,"Low",CallData[[#This Row],[Purchase Amount]]&lt;=100,"Medium",CallData[[#This Row],[Purchase Amount]]&lt;=150,"High",CallData[[#This Row],[Purchase Amount]]&gt;150,"Very High")</f>
        <v>Medium</v>
      </c>
      <c r="I706" s="23">
        <v>4.5</v>
      </c>
      <c r="J706" s="23">
        <f>IF(MONTH('Call Data'!$F706)&lt;=6, YEAR('Call Data'!$F706), YEAR('Call Data'!$F706)+1)</f>
        <v>2024</v>
      </c>
      <c r="K706" s="23" t="str">
        <f>TEXT('Call Data'!$F706,"DDDD")</f>
        <v>Sunday</v>
      </c>
      <c r="L706" s="23" t="s">
        <v>14</v>
      </c>
      <c r="M706" s="23">
        <f>ROUND('Call Data'!$I706,0)</f>
        <v>5</v>
      </c>
    </row>
    <row r="707" spans="1:13" ht="14.25" customHeight="1" x14ac:dyDescent="0.35">
      <c r="A707" s="23" t="s">
        <v>741</v>
      </c>
      <c r="B707" s="23" t="s">
        <v>46</v>
      </c>
      <c r="C707" s="23">
        <v>103</v>
      </c>
      <c r="D707" s="24" t="str" cm="1">
        <f t="array" ref="D707">_xlfn.IFS(CallData[[#This Row],[Duration]]&lt;=15,"Very short",CallData[[#This Row],[Duration]]&lt;=30,"Short",CallData[[#This Row],[Duration]]&lt;=60,"Medium",CallData[[#This Row],[Duration]]&gt;60,"Long")</f>
        <v>Long</v>
      </c>
      <c r="E707" s="24" t="s">
        <v>13</v>
      </c>
      <c r="F707" s="25">
        <v>45173</v>
      </c>
      <c r="G707" s="26">
        <v>44</v>
      </c>
      <c r="H707" s="26" t="str" cm="1">
        <f t="array" ref="H707">_xlfn.IFS(CallData[[#This Row],[Purchase Amount]]&lt;=50,"Low",CallData[[#This Row],[Purchase Amount]]&lt;=100,"Medium",CallData[[#This Row],[Purchase Amount]]&lt;=150,"High",CallData[[#This Row],[Purchase Amount]]&gt;150,"Very High")</f>
        <v>Low</v>
      </c>
      <c r="I707" s="23">
        <v>4.5</v>
      </c>
      <c r="J707" s="23">
        <f>IF(MONTH('Call Data'!$F707)&lt;=6, YEAR('Call Data'!$F707), YEAR('Call Data'!$F707)+1)</f>
        <v>2024</v>
      </c>
      <c r="K707" s="23" t="str">
        <f>TEXT('Call Data'!$F707,"DDDD")</f>
        <v>Monday</v>
      </c>
      <c r="L707" s="23" t="s">
        <v>14</v>
      </c>
      <c r="M707" s="23">
        <f>ROUND('Call Data'!$I707,0)</f>
        <v>5</v>
      </c>
    </row>
    <row r="708" spans="1:13" ht="14.25" customHeight="1" x14ac:dyDescent="0.35">
      <c r="A708" s="23" t="s">
        <v>742</v>
      </c>
      <c r="B708" s="23" t="s">
        <v>12</v>
      </c>
      <c r="C708" s="23">
        <v>61</v>
      </c>
      <c r="D708" s="24" t="str" cm="1">
        <f t="array" ref="D708">_xlfn.IFS(CallData[[#This Row],[Duration]]&lt;=15,"Very short",CallData[[#This Row],[Duration]]&lt;=30,"Short",CallData[[#This Row],[Duration]]&lt;=60,"Medium",CallData[[#This Row],[Duration]]&gt;60,"Long")</f>
        <v>Long</v>
      </c>
      <c r="E708" s="24" t="s">
        <v>24</v>
      </c>
      <c r="F708" s="25">
        <v>45173</v>
      </c>
      <c r="G708" s="26">
        <v>132</v>
      </c>
      <c r="H708" s="26" t="str" cm="1">
        <f t="array" ref="H708">_xlfn.IFS(CallData[[#This Row],[Purchase Amount]]&lt;=50,"Low",CallData[[#This Row],[Purchase Amount]]&lt;=100,"Medium",CallData[[#This Row],[Purchase Amount]]&lt;=150,"High",CallData[[#This Row],[Purchase Amount]]&gt;150,"Very High")</f>
        <v>High</v>
      </c>
      <c r="I708" s="23">
        <v>4.9000000000000004</v>
      </c>
      <c r="J708" s="23">
        <f>IF(MONTH('Call Data'!$F708)&lt;=6, YEAR('Call Data'!$F708), YEAR('Call Data'!$F708)+1)</f>
        <v>2024</v>
      </c>
      <c r="K708" s="23" t="str">
        <f>TEXT('Call Data'!$F708,"DDDD")</f>
        <v>Monday</v>
      </c>
      <c r="L708" s="23" t="s">
        <v>14</v>
      </c>
      <c r="M708" s="23">
        <f>ROUND('Call Data'!$I708,0)</f>
        <v>5</v>
      </c>
    </row>
    <row r="709" spans="1:13" ht="14.25" customHeight="1" x14ac:dyDescent="0.35">
      <c r="A709" s="23" t="s">
        <v>743</v>
      </c>
      <c r="B709" s="23" t="s">
        <v>58</v>
      </c>
      <c r="C709" s="23">
        <v>113</v>
      </c>
      <c r="D709" s="24" t="str" cm="1">
        <f t="array" ref="D709">_xlfn.IFS(CallData[[#This Row],[Duration]]&lt;=15,"Very short",CallData[[#This Row],[Duration]]&lt;=30,"Short",CallData[[#This Row],[Duration]]&lt;=60,"Medium",CallData[[#This Row],[Duration]]&gt;60,"Long")</f>
        <v>Long</v>
      </c>
      <c r="E709" s="24" t="s">
        <v>31</v>
      </c>
      <c r="F709" s="25">
        <v>45173</v>
      </c>
      <c r="G709" s="26">
        <v>46</v>
      </c>
      <c r="H709" s="26" t="str" cm="1">
        <f t="array" ref="H709">_xlfn.IFS(CallData[[#This Row],[Purchase Amount]]&lt;=50,"Low",CallData[[#This Row],[Purchase Amount]]&lt;=100,"Medium",CallData[[#This Row],[Purchase Amount]]&lt;=150,"High",CallData[[#This Row],[Purchase Amount]]&gt;150,"Very High")</f>
        <v>Low</v>
      </c>
      <c r="I709" s="23">
        <v>4.4000000000000004</v>
      </c>
      <c r="J709" s="23">
        <f>IF(MONTH('Call Data'!$F709)&lt;=6, YEAR('Call Data'!$F709), YEAR('Call Data'!$F709)+1)</f>
        <v>2024</v>
      </c>
      <c r="K709" s="23" t="str">
        <f>TEXT('Call Data'!$F709,"DDDD")</f>
        <v>Monday</v>
      </c>
      <c r="L709" s="23" t="s">
        <v>14</v>
      </c>
      <c r="M709" s="23">
        <f>ROUND('Call Data'!$I709,0)</f>
        <v>4</v>
      </c>
    </row>
    <row r="710" spans="1:13" ht="14.25" customHeight="1" x14ac:dyDescent="0.35">
      <c r="A710" s="23" t="s">
        <v>744</v>
      </c>
      <c r="B710" s="23" t="s">
        <v>58</v>
      </c>
      <c r="C710" s="23">
        <v>96</v>
      </c>
      <c r="D710" s="24" t="str" cm="1">
        <f t="array" ref="D710">_xlfn.IFS(CallData[[#This Row],[Duration]]&lt;=15,"Very short",CallData[[#This Row],[Duration]]&lt;=30,"Short",CallData[[#This Row],[Duration]]&lt;=60,"Medium",CallData[[#This Row],[Duration]]&gt;60,"Long")</f>
        <v>Long</v>
      </c>
      <c r="E710" s="24" t="s">
        <v>31</v>
      </c>
      <c r="F710" s="25">
        <v>45173</v>
      </c>
      <c r="G710" s="26">
        <v>96</v>
      </c>
      <c r="H710" s="26" t="str" cm="1">
        <f t="array" ref="H710">_xlfn.IFS(CallData[[#This Row],[Purchase Amount]]&lt;=50,"Low",CallData[[#This Row],[Purchase Amount]]&lt;=100,"Medium",CallData[[#This Row],[Purchase Amount]]&lt;=150,"High",CallData[[#This Row],[Purchase Amount]]&gt;150,"Very High")</f>
        <v>Medium</v>
      </c>
      <c r="I710" s="23">
        <v>2.9</v>
      </c>
      <c r="J710" s="23">
        <f>IF(MONTH('Call Data'!$F710)&lt;=6, YEAR('Call Data'!$F710), YEAR('Call Data'!$F710)+1)</f>
        <v>2024</v>
      </c>
      <c r="K710" s="23" t="str">
        <f>TEXT('Call Data'!$F710,"DDDD")</f>
        <v>Monday</v>
      </c>
      <c r="L710" s="23" t="s">
        <v>14</v>
      </c>
      <c r="M710" s="23">
        <f>ROUND('Call Data'!$I710,0)</f>
        <v>3</v>
      </c>
    </row>
    <row r="711" spans="1:13" ht="14.25" customHeight="1" x14ac:dyDescent="0.35">
      <c r="A711" s="23" t="s">
        <v>745</v>
      </c>
      <c r="B711" s="23" t="s">
        <v>40</v>
      </c>
      <c r="C711" s="23">
        <v>131</v>
      </c>
      <c r="D711" s="24" t="str" cm="1">
        <f t="array" ref="D711">_xlfn.IFS(CallData[[#This Row],[Duration]]&lt;=15,"Very short",CallData[[#This Row],[Duration]]&lt;=30,"Short",CallData[[#This Row],[Duration]]&lt;=60,"Medium",CallData[[#This Row],[Duration]]&gt;60,"Long")</f>
        <v>Long</v>
      </c>
      <c r="E711" s="24" t="s">
        <v>13</v>
      </c>
      <c r="F711" s="25">
        <v>45174</v>
      </c>
      <c r="G711" s="26">
        <v>75</v>
      </c>
      <c r="H711" s="26" t="str" cm="1">
        <f t="array" ref="H711">_xlfn.IFS(CallData[[#This Row],[Purchase Amount]]&lt;=50,"Low",CallData[[#This Row],[Purchase Amount]]&lt;=100,"Medium",CallData[[#This Row],[Purchase Amount]]&lt;=150,"High",CallData[[#This Row],[Purchase Amount]]&gt;150,"Very High")</f>
        <v>Medium</v>
      </c>
      <c r="I711" s="23">
        <v>4.4000000000000004</v>
      </c>
      <c r="J711" s="23">
        <f>IF(MONTH('Call Data'!$F711)&lt;=6, YEAR('Call Data'!$F711), YEAR('Call Data'!$F711)+1)</f>
        <v>2024</v>
      </c>
      <c r="K711" s="23" t="str">
        <f>TEXT('Call Data'!$F711,"DDDD")</f>
        <v>Tuesday</v>
      </c>
      <c r="L711" s="23" t="s">
        <v>25</v>
      </c>
      <c r="M711" s="23">
        <f>ROUND('Call Data'!$I711,0)</f>
        <v>4</v>
      </c>
    </row>
    <row r="712" spans="1:13" ht="14.25" customHeight="1" x14ac:dyDescent="0.35">
      <c r="A712" s="23" t="s">
        <v>746</v>
      </c>
      <c r="B712" s="23" t="s">
        <v>29</v>
      </c>
      <c r="C712" s="23">
        <v>52</v>
      </c>
      <c r="D712" s="24" t="str" cm="1">
        <f t="array" ref="D712">_xlfn.IFS(CallData[[#This Row],[Duration]]&lt;=15,"Very short",CallData[[#This Row],[Duration]]&lt;=30,"Short",CallData[[#This Row],[Duration]]&lt;=60,"Medium",CallData[[#This Row],[Duration]]&gt;60,"Long")</f>
        <v>Medium</v>
      </c>
      <c r="E712" s="24" t="s">
        <v>31</v>
      </c>
      <c r="F712" s="25">
        <v>45175</v>
      </c>
      <c r="G712" s="26">
        <v>88</v>
      </c>
      <c r="H712" s="26" t="str" cm="1">
        <f t="array" ref="H712">_xlfn.IFS(CallData[[#This Row],[Purchase Amount]]&lt;=50,"Low",CallData[[#This Row],[Purchase Amount]]&lt;=100,"Medium",CallData[[#This Row],[Purchase Amount]]&lt;=150,"High",CallData[[#This Row],[Purchase Amount]]&gt;150,"Very High")</f>
        <v>Medium</v>
      </c>
      <c r="I712" s="23">
        <v>4.3</v>
      </c>
      <c r="J712" s="23">
        <f>IF(MONTH('Call Data'!$F712)&lt;=6, YEAR('Call Data'!$F712), YEAR('Call Data'!$F712)+1)</f>
        <v>2024</v>
      </c>
      <c r="K712" s="23" t="str">
        <f>TEXT('Call Data'!$F712,"DDDD")</f>
        <v>Wednesday</v>
      </c>
      <c r="L712" s="23" t="s">
        <v>27</v>
      </c>
      <c r="M712" s="23">
        <f>ROUND('Call Data'!$I712,0)</f>
        <v>4</v>
      </c>
    </row>
    <row r="713" spans="1:13" ht="14.25" customHeight="1" x14ac:dyDescent="0.35">
      <c r="A713" s="23" t="s">
        <v>747</v>
      </c>
      <c r="B713" s="23" t="s">
        <v>16</v>
      </c>
      <c r="C713" s="23">
        <v>100</v>
      </c>
      <c r="D713" s="24" t="str" cm="1">
        <f t="array" ref="D713">_xlfn.IFS(CallData[[#This Row],[Duration]]&lt;=15,"Very short",CallData[[#This Row],[Duration]]&lt;=30,"Short",CallData[[#This Row],[Duration]]&lt;=60,"Medium",CallData[[#This Row],[Duration]]&gt;60,"Long")</f>
        <v>Long</v>
      </c>
      <c r="E713" s="24" t="s">
        <v>13</v>
      </c>
      <c r="F713" s="25">
        <v>45175</v>
      </c>
      <c r="G713" s="26">
        <v>24</v>
      </c>
      <c r="H713" s="26" t="str" cm="1">
        <f t="array" ref="H713">_xlfn.IFS(CallData[[#This Row],[Purchase Amount]]&lt;=50,"Low",CallData[[#This Row],[Purchase Amount]]&lt;=100,"Medium",CallData[[#This Row],[Purchase Amount]]&lt;=150,"High",CallData[[#This Row],[Purchase Amount]]&gt;150,"Very High")</f>
        <v>Low</v>
      </c>
      <c r="I713" s="23">
        <v>4.7</v>
      </c>
      <c r="J713" s="23">
        <f>IF(MONTH('Call Data'!$F713)&lt;=6, YEAR('Call Data'!$F713), YEAR('Call Data'!$F713)+1)</f>
        <v>2024</v>
      </c>
      <c r="K713" s="23" t="str">
        <f>TEXT('Call Data'!$F713,"DDDD")</f>
        <v>Wednesday</v>
      </c>
      <c r="L713" s="23" t="s">
        <v>14</v>
      </c>
      <c r="M713" s="23">
        <f>ROUND('Call Data'!$I713,0)</f>
        <v>5</v>
      </c>
    </row>
    <row r="714" spans="1:13" ht="14.25" customHeight="1" x14ac:dyDescent="0.35">
      <c r="A714" s="23" t="s">
        <v>748</v>
      </c>
      <c r="B714" s="23" t="s">
        <v>21</v>
      </c>
      <c r="C714" s="23">
        <v>58</v>
      </c>
      <c r="D714" s="24" t="str" cm="1">
        <f t="array" ref="D714">_xlfn.IFS(CallData[[#This Row],[Duration]]&lt;=15,"Very short",CallData[[#This Row],[Duration]]&lt;=30,"Short",CallData[[#This Row],[Duration]]&lt;=60,"Medium",CallData[[#This Row],[Duration]]&gt;60,"Long")</f>
        <v>Medium</v>
      </c>
      <c r="E714" s="24" t="s">
        <v>35</v>
      </c>
      <c r="F714" s="25">
        <v>45175</v>
      </c>
      <c r="G714" s="26">
        <v>96</v>
      </c>
      <c r="H714" s="26" t="str" cm="1">
        <f t="array" ref="H714">_xlfn.IFS(CallData[[#This Row],[Purchase Amount]]&lt;=50,"Low",CallData[[#This Row],[Purchase Amount]]&lt;=100,"Medium",CallData[[#This Row],[Purchase Amount]]&lt;=150,"High",CallData[[#This Row],[Purchase Amount]]&gt;150,"Very High")</f>
        <v>Medium</v>
      </c>
      <c r="I714" s="23">
        <v>3.2</v>
      </c>
      <c r="J714" s="23">
        <f>IF(MONTH('Call Data'!$F714)&lt;=6, YEAR('Call Data'!$F714), YEAR('Call Data'!$F714)+1)</f>
        <v>2024</v>
      </c>
      <c r="K714" s="23" t="str">
        <f>TEXT('Call Data'!$F714,"DDDD")</f>
        <v>Wednesday</v>
      </c>
      <c r="L714" s="23" t="s">
        <v>27</v>
      </c>
      <c r="M714" s="23">
        <f>ROUND('Call Data'!$I714,0)</f>
        <v>3</v>
      </c>
    </row>
    <row r="715" spans="1:13" ht="14.25" customHeight="1" x14ac:dyDescent="0.35">
      <c r="A715" s="23" t="s">
        <v>749</v>
      </c>
      <c r="B715" s="23" t="s">
        <v>23</v>
      </c>
      <c r="C715" s="23">
        <v>144</v>
      </c>
      <c r="D715" s="24" t="str" cm="1">
        <f t="array" ref="D715">_xlfn.IFS(CallData[[#This Row],[Duration]]&lt;=15,"Very short",CallData[[#This Row],[Duration]]&lt;=30,"Short",CallData[[#This Row],[Duration]]&lt;=60,"Medium",CallData[[#This Row],[Duration]]&gt;60,"Long")</f>
        <v>Long</v>
      </c>
      <c r="E715" s="24" t="s">
        <v>35</v>
      </c>
      <c r="F715" s="25">
        <v>45176</v>
      </c>
      <c r="G715" s="26">
        <v>124</v>
      </c>
      <c r="H715" s="26" t="str" cm="1">
        <f t="array" ref="H715">_xlfn.IFS(CallData[[#This Row],[Purchase Amount]]&lt;=50,"Low",CallData[[#This Row],[Purchase Amount]]&lt;=100,"Medium",CallData[[#This Row],[Purchase Amount]]&lt;=150,"High",CallData[[#This Row],[Purchase Amount]]&gt;150,"Very High")</f>
        <v>High</v>
      </c>
      <c r="I715" s="23">
        <v>2.2999999999999998</v>
      </c>
      <c r="J715" s="23">
        <f>IF(MONTH('Call Data'!$F715)&lt;=6, YEAR('Call Data'!$F715), YEAR('Call Data'!$F715)+1)</f>
        <v>2024</v>
      </c>
      <c r="K715" s="23" t="str">
        <f>TEXT('Call Data'!$F715,"DDDD")</f>
        <v>Thursday</v>
      </c>
      <c r="L715" s="23" t="s">
        <v>25</v>
      </c>
      <c r="M715" s="23">
        <f>ROUND('Call Data'!$I715,0)</f>
        <v>2</v>
      </c>
    </row>
    <row r="716" spans="1:13" ht="14.25" customHeight="1" x14ac:dyDescent="0.35">
      <c r="A716" s="23" t="s">
        <v>750</v>
      </c>
      <c r="B716" s="23" t="s">
        <v>21</v>
      </c>
      <c r="C716" s="23">
        <v>53</v>
      </c>
      <c r="D716" s="24" t="str" cm="1">
        <f t="array" ref="D716">_xlfn.IFS(CallData[[#This Row],[Duration]]&lt;=15,"Very short",CallData[[#This Row],[Duration]]&lt;=30,"Short",CallData[[#This Row],[Duration]]&lt;=60,"Medium",CallData[[#This Row],[Duration]]&gt;60,"Long")</f>
        <v>Medium</v>
      </c>
      <c r="E716" s="24" t="s">
        <v>24</v>
      </c>
      <c r="F716" s="25">
        <v>45177</v>
      </c>
      <c r="G716" s="26">
        <v>130</v>
      </c>
      <c r="H716" s="26" t="str" cm="1">
        <f t="array" ref="H716">_xlfn.IFS(CallData[[#This Row],[Purchase Amount]]&lt;=50,"Low",CallData[[#This Row],[Purchase Amount]]&lt;=100,"Medium",CallData[[#This Row],[Purchase Amount]]&lt;=150,"High",CallData[[#This Row],[Purchase Amount]]&gt;150,"Very High")</f>
        <v>High</v>
      </c>
      <c r="I716" s="23">
        <v>3.6</v>
      </c>
      <c r="J716" s="23">
        <f>IF(MONTH('Call Data'!$F716)&lt;=6, YEAR('Call Data'!$F716), YEAR('Call Data'!$F716)+1)</f>
        <v>2024</v>
      </c>
      <c r="K716" s="23" t="str">
        <f>TEXT('Call Data'!$F716,"DDDD")</f>
        <v>Friday</v>
      </c>
      <c r="L716" s="23" t="s">
        <v>27</v>
      </c>
      <c r="M716" s="23">
        <f>ROUND('Call Data'!$I716,0)</f>
        <v>4</v>
      </c>
    </row>
    <row r="717" spans="1:13" ht="14.25" customHeight="1" x14ac:dyDescent="0.35">
      <c r="A717" s="23" t="s">
        <v>751</v>
      </c>
      <c r="B717" s="23" t="s">
        <v>58</v>
      </c>
      <c r="C717" s="23">
        <v>97</v>
      </c>
      <c r="D717" s="24" t="str" cm="1">
        <f t="array" ref="D717">_xlfn.IFS(CallData[[#This Row],[Duration]]&lt;=15,"Very short",CallData[[#This Row],[Duration]]&lt;=30,"Short",CallData[[#This Row],[Duration]]&lt;=60,"Medium",CallData[[#This Row],[Duration]]&gt;60,"Long")</f>
        <v>Long</v>
      </c>
      <c r="E717" s="24" t="s">
        <v>19</v>
      </c>
      <c r="F717" s="25">
        <v>45177</v>
      </c>
      <c r="G717" s="26">
        <v>45</v>
      </c>
      <c r="H717" s="26" t="str" cm="1">
        <f t="array" ref="H717">_xlfn.IFS(CallData[[#This Row],[Purchase Amount]]&lt;=50,"Low",CallData[[#This Row],[Purchase Amount]]&lt;=100,"Medium",CallData[[#This Row],[Purchase Amount]]&lt;=150,"High",CallData[[#This Row],[Purchase Amount]]&gt;150,"Very High")</f>
        <v>Low</v>
      </c>
      <c r="I717" s="23">
        <v>4.5999999999999996</v>
      </c>
      <c r="J717" s="23">
        <f>IF(MONTH('Call Data'!$F717)&lt;=6, YEAR('Call Data'!$F717), YEAR('Call Data'!$F717)+1)</f>
        <v>2024</v>
      </c>
      <c r="K717" s="23" t="str">
        <f>TEXT('Call Data'!$F717,"DDDD")</f>
        <v>Friday</v>
      </c>
      <c r="L717" s="23" t="s">
        <v>14</v>
      </c>
      <c r="M717" s="23">
        <f>ROUND('Call Data'!$I717,0)</f>
        <v>5</v>
      </c>
    </row>
    <row r="718" spans="1:13" ht="14.25" customHeight="1" x14ac:dyDescent="0.35">
      <c r="A718" s="23" t="s">
        <v>752</v>
      </c>
      <c r="B718" s="23" t="s">
        <v>18</v>
      </c>
      <c r="C718" s="23">
        <v>64</v>
      </c>
      <c r="D718" s="24" t="str" cm="1">
        <f t="array" ref="D718">_xlfn.IFS(CallData[[#This Row],[Duration]]&lt;=15,"Very short",CallData[[#This Row],[Duration]]&lt;=30,"Short",CallData[[#This Row],[Duration]]&lt;=60,"Medium",CallData[[#This Row],[Duration]]&gt;60,"Long")</f>
        <v>Long</v>
      </c>
      <c r="E718" s="24" t="s">
        <v>35</v>
      </c>
      <c r="F718" s="25">
        <v>45177</v>
      </c>
      <c r="G718" s="26">
        <v>66</v>
      </c>
      <c r="H718" s="26" t="str" cm="1">
        <f t="array" ref="H718">_xlfn.IFS(CallData[[#This Row],[Purchase Amount]]&lt;=50,"Low",CallData[[#This Row],[Purchase Amount]]&lt;=100,"Medium",CallData[[#This Row],[Purchase Amount]]&lt;=150,"High",CallData[[#This Row],[Purchase Amount]]&gt;150,"Very High")</f>
        <v>Medium</v>
      </c>
      <c r="I718" s="23">
        <v>4</v>
      </c>
      <c r="J718" s="23">
        <f>IF(MONTH('Call Data'!$F718)&lt;=6, YEAR('Call Data'!$F718), YEAR('Call Data'!$F718)+1)</f>
        <v>2024</v>
      </c>
      <c r="K718" s="23" t="str">
        <f>TEXT('Call Data'!$F718,"DDDD")</f>
        <v>Friday</v>
      </c>
      <c r="L718" s="23" t="s">
        <v>14</v>
      </c>
      <c r="M718" s="23">
        <f>ROUND('Call Data'!$I718,0)</f>
        <v>4</v>
      </c>
    </row>
    <row r="719" spans="1:13" ht="14.25" customHeight="1" x14ac:dyDescent="0.35">
      <c r="A719" s="23" t="s">
        <v>753</v>
      </c>
      <c r="B719" s="23" t="s">
        <v>12</v>
      </c>
      <c r="C719" s="23">
        <v>106</v>
      </c>
      <c r="D719" s="24" t="str" cm="1">
        <f t="array" ref="D719">_xlfn.IFS(CallData[[#This Row],[Duration]]&lt;=15,"Very short",CallData[[#This Row],[Duration]]&lt;=30,"Short",CallData[[#This Row],[Duration]]&lt;=60,"Medium",CallData[[#This Row],[Duration]]&gt;60,"Long")</f>
        <v>Long</v>
      </c>
      <c r="E719" s="24" t="s">
        <v>13</v>
      </c>
      <c r="F719" s="25">
        <v>45177</v>
      </c>
      <c r="G719" s="26">
        <v>58</v>
      </c>
      <c r="H719" s="26" t="str" cm="1">
        <f t="array" ref="H719">_xlfn.IFS(CallData[[#This Row],[Purchase Amount]]&lt;=50,"Low",CallData[[#This Row],[Purchase Amount]]&lt;=100,"Medium",CallData[[#This Row],[Purchase Amount]]&lt;=150,"High",CallData[[#This Row],[Purchase Amount]]&gt;150,"Very High")</f>
        <v>Medium</v>
      </c>
      <c r="I719" s="23">
        <v>4.7</v>
      </c>
      <c r="J719" s="23">
        <f>IF(MONTH('Call Data'!$F719)&lt;=6, YEAR('Call Data'!$F719), YEAR('Call Data'!$F719)+1)</f>
        <v>2024</v>
      </c>
      <c r="K719" s="23" t="str">
        <f>TEXT('Call Data'!$F719,"DDDD")</f>
        <v>Friday</v>
      </c>
      <c r="L719" s="23" t="s">
        <v>14</v>
      </c>
      <c r="M719" s="23">
        <f>ROUND('Call Data'!$I719,0)</f>
        <v>5</v>
      </c>
    </row>
    <row r="720" spans="1:13" ht="14.25" customHeight="1" x14ac:dyDescent="0.35">
      <c r="A720" s="23" t="s">
        <v>754</v>
      </c>
      <c r="B720" s="23" t="s">
        <v>68</v>
      </c>
      <c r="C720" s="23">
        <v>36</v>
      </c>
      <c r="D720" s="24" t="str" cm="1">
        <f t="array" ref="D720">_xlfn.IFS(CallData[[#This Row],[Duration]]&lt;=15,"Very short",CallData[[#This Row],[Duration]]&lt;=30,"Short",CallData[[#This Row],[Duration]]&lt;=60,"Medium",CallData[[#This Row],[Duration]]&gt;60,"Long")</f>
        <v>Medium</v>
      </c>
      <c r="E720" s="24" t="s">
        <v>35</v>
      </c>
      <c r="F720" s="25">
        <v>45178</v>
      </c>
      <c r="G720" s="26">
        <v>152</v>
      </c>
      <c r="H720" s="26" t="str" cm="1">
        <f t="array" ref="H720">_xlfn.IFS(CallData[[#This Row],[Purchase Amount]]&lt;=50,"Low",CallData[[#This Row],[Purchase Amount]]&lt;=100,"Medium",CallData[[#This Row],[Purchase Amount]]&lt;=150,"High",CallData[[#This Row],[Purchase Amount]]&gt;150,"Very High")</f>
        <v>Very High</v>
      </c>
      <c r="I720" s="23">
        <v>4.3</v>
      </c>
      <c r="J720" s="23">
        <f>IF(MONTH('Call Data'!$F720)&lt;=6, YEAR('Call Data'!$F720), YEAR('Call Data'!$F720)+1)</f>
        <v>2024</v>
      </c>
      <c r="K720" s="23" t="str">
        <f>TEXT('Call Data'!$F720,"DDDD")</f>
        <v>Saturday</v>
      </c>
      <c r="L720" s="23" t="s">
        <v>27</v>
      </c>
      <c r="M720" s="23">
        <f>ROUND('Call Data'!$I720,0)</f>
        <v>4</v>
      </c>
    </row>
    <row r="721" spans="1:13" ht="14.25" customHeight="1" x14ac:dyDescent="0.35">
      <c r="A721" s="23" t="s">
        <v>755</v>
      </c>
      <c r="B721" s="23" t="s">
        <v>23</v>
      </c>
      <c r="C721" s="23">
        <v>74</v>
      </c>
      <c r="D721" s="24" t="str" cm="1">
        <f t="array" ref="D721">_xlfn.IFS(CallData[[#This Row],[Duration]]&lt;=15,"Very short",CallData[[#This Row],[Duration]]&lt;=30,"Short",CallData[[#This Row],[Duration]]&lt;=60,"Medium",CallData[[#This Row],[Duration]]&gt;60,"Long")</f>
        <v>Long</v>
      </c>
      <c r="E721" s="24" t="s">
        <v>31</v>
      </c>
      <c r="F721" s="25">
        <v>45178</v>
      </c>
      <c r="G721" s="26">
        <v>75</v>
      </c>
      <c r="H721" s="26" t="str" cm="1">
        <f t="array" ref="H721">_xlfn.IFS(CallData[[#This Row],[Purchase Amount]]&lt;=50,"Low",CallData[[#This Row],[Purchase Amount]]&lt;=100,"Medium",CallData[[#This Row],[Purchase Amount]]&lt;=150,"High",CallData[[#This Row],[Purchase Amount]]&gt;150,"Very High")</f>
        <v>Medium</v>
      </c>
      <c r="I721" s="23">
        <v>2.8</v>
      </c>
      <c r="J721" s="23">
        <f>IF(MONTH('Call Data'!$F721)&lt;=6, YEAR('Call Data'!$F721), YEAR('Call Data'!$F721)+1)</f>
        <v>2024</v>
      </c>
      <c r="K721" s="23" t="str">
        <f>TEXT('Call Data'!$F721,"DDDD")</f>
        <v>Saturday</v>
      </c>
      <c r="L721" s="23" t="s">
        <v>14</v>
      </c>
      <c r="M721" s="23">
        <f>ROUND('Call Data'!$I721,0)</f>
        <v>3</v>
      </c>
    </row>
    <row r="722" spans="1:13" ht="14.25" customHeight="1" x14ac:dyDescent="0.35">
      <c r="A722" s="23" t="s">
        <v>756</v>
      </c>
      <c r="B722" s="23" t="s">
        <v>50</v>
      </c>
      <c r="C722" s="23">
        <v>143</v>
      </c>
      <c r="D722" s="24" t="str" cm="1">
        <f t="array" ref="D722">_xlfn.IFS(CallData[[#This Row],[Duration]]&lt;=15,"Very short",CallData[[#This Row],[Duration]]&lt;=30,"Short",CallData[[#This Row],[Duration]]&lt;=60,"Medium",CallData[[#This Row],[Duration]]&gt;60,"Long")</f>
        <v>Long</v>
      </c>
      <c r="E722" s="24" t="s">
        <v>19</v>
      </c>
      <c r="F722" s="25">
        <v>45178</v>
      </c>
      <c r="G722" s="26">
        <v>78</v>
      </c>
      <c r="H722" s="26" t="str" cm="1">
        <f t="array" ref="H722">_xlfn.IFS(CallData[[#This Row],[Purchase Amount]]&lt;=50,"Low",CallData[[#This Row],[Purchase Amount]]&lt;=100,"Medium",CallData[[#This Row],[Purchase Amount]]&lt;=150,"High",CallData[[#This Row],[Purchase Amount]]&gt;150,"Very High")</f>
        <v>Medium</v>
      </c>
      <c r="I722" s="23">
        <v>4</v>
      </c>
      <c r="J722" s="23">
        <f>IF(MONTH('Call Data'!$F722)&lt;=6, YEAR('Call Data'!$F722), YEAR('Call Data'!$F722)+1)</f>
        <v>2024</v>
      </c>
      <c r="K722" s="23" t="str">
        <f>TEXT('Call Data'!$F722,"DDDD")</f>
        <v>Saturday</v>
      </c>
      <c r="L722" s="23" t="s">
        <v>25</v>
      </c>
      <c r="M722" s="23">
        <f>ROUND('Call Data'!$I722,0)</f>
        <v>4</v>
      </c>
    </row>
    <row r="723" spans="1:13" ht="14.25" customHeight="1" x14ac:dyDescent="0.35">
      <c r="A723" s="23" t="s">
        <v>757</v>
      </c>
      <c r="B723" s="23" t="s">
        <v>12</v>
      </c>
      <c r="C723" s="23">
        <v>94</v>
      </c>
      <c r="D723" s="24" t="str" cm="1">
        <f t="array" ref="D723">_xlfn.IFS(CallData[[#This Row],[Duration]]&lt;=15,"Very short",CallData[[#This Row],[Duration]]&lt;=30,"Short",CallData[[#This Row],[Duration]]&lt;=60,"Medium",CallData[[#This Row],[Duration]]&gt;60,"Long")</f>
        <v>Long</v>
      </c>
      <c r="E723" s="24" t="s">
        <v>24</v>
      </c>
      <c r="F723" s="25">
        <v>45178</v>
      </c>
      <c r="G723" s="26">
        <v>69</v>
      </c>
      <c r="H723" s="26" t="str" cm="1">
        <f t="array" ref="H723">_xlfn.IFS(CallData[[#This Row],[Purchase Amount]]&lt;=50,"Low",CallData[[#This Row],[Purchase Amount]]&lt;=100,"Medium",CallData[[#This Row],[Purchase Amount]]&lt;=150,"High",CallData[[#This Row],[Purchase Amount]]&gt;150,"Very High")</f>
        <v>Medium</v>
      </c>
      <c r="I723" s="23">
        <v>3.9</v>
      </c>
      <c r="J723" s="23">
        <f>IF(MONTH('Call Data'!$F723)&lt;=6, YEAR('Call Data'!$F723), YEAR('Call Data'!$F723)+1)</f>
        <v>2024</v>
      </c>
      <c r="K723" s="23" t="str">
        <f>TEXT('Call Data'!$F723,"DDDD")</f>
        <v>Saturday</v>
      </c>
      <c r="L723" s="23" t="s">
        <v>14</v>
      </c>
      <c r="M723" s="23">
        <f>ROUND('Call Data'!$I723,0)</f>
        <v>4</v>
      </c>
    </row>
    <row r="724" spans="1:13" ht="14.25" customHeight="1" x14ac:dyDescent="0.35">
      <c r="A724" s="23" t="s">
        <v>758</v>
      </c>
      <c r="B724" s="23" t="s">
        <v>55</v>
      </c>
      <c r="C724" s="23">
        <v>124</v>
      </c>
      <c r="D724" s="24" t="str" cm="1">
        <f t="array" ref="D724">_xlfn.IFS(CallData[[#This Row],[Duration]]&lt;=15,"Very short",CallData[[#This Row],[Duration]]&lt;=30,"Short",CallData[[#This Row],[Duration]]&lt;=60,"Medium",CallData[[#This Row],[Duration]]&gt;60,"Long")</f>
        <v>Long</v>
      </c>
      <c r="E724" s="24" t="s">
        <v>13</v>
      </c>
      <c r="F724" s="25">
        <v>45179</v>
      </c>
      <c r="G724" s="26">
        <v>46</v>
      </c>
      <c r="H724" s="26" t="str" cm="1">
        <f t="array" ref="H724">_xlfn.IFS(CallData[[#This Row],[Purchase Amount]]&lt;=50,"Low",CallData[[#This Row],[Purchase Amount]]&lt;=100,"Medium",CallData[[#This Row],[Purchase Amount]]&lt;=150,"High",CallData[[#This Row],[Purchase Amount]]&gt;150,"Very High")</f>
        <v>Low</v>
      </c>
      <c r="I724" s="23">
        <v>3.1</v>
      </c>
      <c r="J724" s="23">
        <f>IF(MONTH('Call Data'!$F724)&lt;=6, YEAR('Call Data'!$F724), YEAR('Call Data'!$F724)+1)</f>
        <v>2024</v>
      </c>
      <c r="K724" s="23" t="str">
        <f>TEXT('Call Data'!$F724,"DDDD")</f>
        <v>Sunday</v>
      </c>
      <c r="L724" s="23" t="s">
        <v>25</v>
      </c>
      <c r="M724" s="23">
        <f>ROUND('Call Data'!$I724,0)</f>
        <v>3</v>
      </c>
    </row>
    <row r="725" spans="1:13" ht="14.25" customHeight="1" x14ac:dyDescent="0.35">
      <c r="A725" s="23" t="s">
        <v>759</v>
      </c>
      <c r="B725" s="23" t="s">
        <v>68</v>
      </c>
      <c r="C725" s="23">
        <v>156</v>
      </c>
      <c r="D725" s="24" t="str" cm="1">
        <f t="array" ref="D725">_xlfn.IFS(CallData[[#This Row],[Duration]]&lt;=15,"Very short",CallData[[#This Row],[Duration]]&lt;=30,"Short",CallData[[#This Row],[Duration]]&lt;=60,"Medium",CallData[[#This Row],[Duration]]&gt;60,"Long")</f>
        <v>Long</v>
      </c>
      <c r="E725" s="24" t="s">
        <v>35</v>
      </c>
      <c r="F725" s="25">
        <v>45179</v>
      </c>
      <c r="G725" s="26">
        <v>64</v>
      </c>
      <c r="H725" s="26" t="str" cm="1">
        <f t="array" ref="H725">_xlfn.IFS(CallData[[#This Row],[Purchase Amount]]&lt;=50,"Low",CallData[[#This Row],[Purchase Amount]]&lt;=100,"Medium",CallData[[#This Row],[Purchase Amount]]&lt;=150,"High",CallData[[#This Row],[Purchase Amount]]&gt;150,"Very High")</f>
        <v>Medium</v>
      </c>
      <c r="I725" s="23">
        <v>2.7</v>
      </c>
      <c r="J725" s="23">
        <f>IF(MONTH('Call Data'!$F725)&lt;=6, YEAR('Call Data'!$F725), YEAR('Call Data'!$F725)+1)</f>
        <v>2024</v>
      </c>
      <c r="K725" s="23" t="str">
        <f>TEXT('Call Data'!$F725,"DDDD")</f>
        <v>Sunday</v>
      </c>
      <c r="L725" s="23" t="s">
        <v>25</v>
      </c>
      <c r="M725" s="23">
        <f>ROUND('Call Data'!$I725,0)</f>
        <v>3</v>
      </c>
    </row>
    <row r="726" spans="1:13" ht="14.25" customHeight="1" x14ac:dyDescent="0.35">
      <c r="A726" s="23" t="s">
        <v>760</v>
      </c>
      <c r="B726" s="23" t="s">
        <v>34</v>
      </c>
      <c r="C726" s="23">
        <v>107</v>
      </c>
      <c r="D726" s="24" t="str" cm="1">
        <f t="array" ref="D726">_xlfn.IFS(CallData[[#This Row],[Duration]]&lt;=15,"Very short",CallData[[#This Row],[Duration]]&lt;=30,"Short",CallData[[#This Row],[Duration]]&lt;=60,"Medium",CallData[[#This Row],[Duration]]&gt;60,"Long")</f>
        <v>Long</v>
      </c>
      <c r="E726" s="24" t="s">
        <v>19</v>
      </c>
      <c r="F726" s="25">
        <v>45179</v>
      </c>
      <c r="G726" s="26">
        <v>38</v>
      </c>
      <c r="H726" s="26" t="str" cm="1">
        <f t="array" ref="H726">_xlfn.IFS(CallData[[#This Row],[Purchase Amount]]&lt;=50,"Low",CallData[[#This Row],[Purchase Amount]]&lt;=100,"Medium",CallData[[#This Row],[Purchase Amount]]&lt;=150,"High",CallData[[#This Row],[Purchase Amount]]&gt;150,"Very High")</f>
        <v>Low</v>
      </c>
      <c r="I726" s="23">
        <v>4.7</v>
      </c>
      <c r="J726" s="23">
        <f>IF(MONTH('Call Data'!$F726)&lt;=6, YEAR('Call Data'!$F726), YEAR('Call Data'!$F726)+1)</f>
        <v>2024</v>
      </c>
      <c r="K726" s="23" t="str">
        <f>TEXT('Call Data'!$F726,"DDDD")</f>
        <v>Sunday</v>
      </c>
      <c r="L726" s="23" t="s">
        <v>14</v>
      </c>
      <c r="M726" s="23">
        <f>ROUND('Call Data'!$I726,0)</f>
        <v>5</v>
      </c>
    </row>
    <row r="727" spans="1:13" ht="14.25" customHeight="1" x14ac:dyDescent="0.35">
      <c r="A727" s="23" t="s">
        <v>761</v>
      </c>
      <c r="B727" s="23" t="s">
        <v>12</v>
      </c>
      <c r="C727" s="23">
        <v>58</v>
      </c>
      <c r="D727" s="24" t="str" cm="1">
        <f t="array" ref="D727">_xlfn.IFS(CallData[[#This Row],[Duration]]&lt;=15,"Very short",CallData[[#This Row],[Duration]]&lt;=30,"Short",CallData[[#This Row],[Duration]]&lt;=60,"Medium",CallData[[#This Row],[Duration]]&gt;60,"Long")</f>
        <v>Medium</v>
      </c>
      <c r="E727" s="24" t="s">
        <v>19</v>
      </c>
      <c r="F727" s="25">
        <v>45181</v>
      </c>
      <c r="G727" s="26">
        <v>90</v>
      </c>
      <c r="H727" s="26" t="str" cm="1">
        <f t="array" ref="H727">_xlfn.IFS(CallData[[#This Row],[Purchase Amount]]&lt;=50,"Low",CallData[[#This Row],[Purchase Amount]]&lt;=100,"Medium",CallData[[#This Row],[Purchase Amount]]&lt;=150,"High",CallData[[#This Row],[Purchase Amount]]&gt;150,"Very High")</f>
        <v>Medium</v>
      </c>
      <c r="I727" s="23">
        <v>4.3</v>
      </c>
      <c r="J727" s="23">
        <f>IF(MONTH('Call Data'!$F727)&lt;=6, YEAR('Call Data'!$F727), YEAR('Call Data'!$F727)+1)</f>
        <v>2024</v>
      </c>
      <c r="K727" s="23" t="str">
        <f>TEXT('Call Data'!$F727,"DDDD")</f>
        <v>Tuesday</v>
      </c>
      <c r="L727" s="23" t="s">
        <v>27</v>
      </c>
      <c r="M727" s="23">
        <f>ROUND('Call Data'!$I727,0)</f>
        <v>4</v>
      </c>
    </row>
    <row r="728" spans="1:13" ht="14.25" customHeight="1" x14ac:dyDescent="0.35">
      <c r="A728" s="23" t="s">
        <v>762</v>
      </c>
      <c r="B728" s="23" t="s">
        <v>38</v>
      </c>
      <c r="C728" s="23">
        <v>66</v>
      </c>
      <c r="D728" s="24" t="str" cm="1">
        <f t="array" ref="D728">_xlfn.IFS(CallData[[#This Row],[Duration]]&lt;=15,"Very short",CallData[[#This Row],[Duration]]&lt;=30,"Short",CallData[[#This Row],[Duration]]&lt;=60,"Medium",CallData[[#This Row],[Duration]]&gt;60,"Long")</f>
        <v>Long</v>
      </c>
      <c r="E728" s="24" t="s">
        <v>19</v>
      </c>
      <c r="F728" s="25">
        <v>45181</v>
      </c>
      <c r="G728" s="26">
        <v>32</v>
      </c>
      <c r="H728" s="26" t="str" cm="1">
        <f t="array" ref="H728">_xlfn.IFS(CallData[[#This Row],[Purchase Amount]]&lt;=50,"Low",CallData[[#This Row],[Purchase Amount]]&lt;=100,"Medium",CallData[[#This Row],[Purchase Amount]]&lt;=150,"High",CallData[[#This Row],[Purchase Amount]]&gt;150,"Very High")</f>
        <v>Low</v>
      </c>
      <c r="I728" s="23">
        <v>3.8</v>
      </c>
      <c r="J728" s="23">
        <f>IF(MONTH('Call Data'!$F728)&lt;=6, YEAR('Call Data'!$F728), YEAR('Call Data'!$F728)+1)</f>
        <v>2024</v>
      </c>
      <c r="K728" s="23" t="str">
        <f>TEXT('Call Data'!$F728,"DDDD")</f>
        <v>Tuesday</v>
      </c>
      <c r="L728" s="23" t="s">
        <v>14</v>
      </c>
      <c r="M728" s="23">
        <f>ROUND('Call Data'!$I728,0)</f>
        <v>4</v>
      </c>
    </row>
    <row r="729" spans="1:13" ht="14.25" customHeight="1" x14ac:dyDescent="0.35">
      <c r="A729" s="23" t="s">
        <v>763</v>
      </c>
      <c r="B729" s="23" t="s">
        <v>40</v>
      </c>
      <c r="C729" s="23">
        <v>75</v>
      </c>
      <c r="D729" s="24" t="str" cm="1">
        <f t="array" ref="D729">_xlfn.IFS(CallData[[#This Row],[Duration]]&lt;=15,"Very short",CallData[[#This Row],[Duration]]&lt;=30,"Short",CallData[[#This Row],[Duration]]&lt;=60,"Medium",CallData[[#This Row],[Duration]]&gt;60,"Long")</f>
        <v>Long</v>
      </c>
      <c r="E729" s="24" t="s">
        <v>35</v>
      </c>
      <c r="F729" s="25">
        <v>45181</v>
      </c>
      <c r="G729" s="26">
        <v>120</v>
      </c>
      <c r="H729" s="26" t="str" cm="1">
        <f t="array" ref="H729">_xlfn.IFS(CallData[[#This Row],[Purchase Amount]]&lt;=50,"Low",CallData[[#This Row],[Purchase Amount]]&lt;=100,"Medium",CallData[[#This Row],[Purchase Amount]]&lt;=150,"High",CallData[[#This Row],[Purchase Amount]]&gt;150,"Very High")</f>
        <v>High</v>
      </c>
      <c r="I729" s="23">
        <v>4.4000000000000004</v>
      </c>
      <c r="J729" s="23">
        <f>IF(MONTH('Call Data'!$F729)&lt;=6, YEAR('Call Data'!$F729), YEAR('Call Data'!$F729)+1)</f>
        <v>2024</v>
      </c>
      <c r="K729" s="23" t="str">
        <f>TEXT('Call Data'!$F729,"DDDD")</f>
        <v>Tuesday</v>
      </c>
      <c r="L729" s="23" t="s">
        <v>14</v>
      </c>
      <c r="M729" s="23">
        <f>ROUND('Call Data'!$I729,0)</f>
        <v>4</v>
      </c>
    </row>
    <row r="730" spans="1:13" ht="14.25" customHeight="1" x14ac:dyDescent="0.35">
      <c r="A730" s="23" t="s">
        <v>764</v>
      </c>
      <c r="B730" s="23" t="s">
        <v>34</v>
      </c>
      <c r="C730" s="23">
        <v>8</v>
      </c>
      <c r="D730" s="24" t="str" cm="1">
        <f t="array" ref="D730">_xlfn.IFS(CallData[[#This Row],[Duration]]&lt;=15,"Very short",CallData[[#This Row],[Duration]]&lt;=30,"Short",CallData[[#This Row],[Duration]]&lt;=60,"Medium",CallData[[#This Row],[Duration]]&gt;60,"Long")</f>
        <v>Very short</v>
      </c>
      <c r="E730" s="24" t="s">
        <v>19</v>
      </c>
      <c r="F730" s="25">
        <v>45181</v>
      </c>
      <c r="G730" s="26">
        <v>31</v>
      </c>
      <c r="H730" s="26" t="str" cm="1">
        <f t="array" ref="H730">_xlfn.IFS(CallData[[#This Row],[Purchase Amount]]&lt;=50,"Low",CallData[[#This Row],[Purchase Amount]]&lt;=100,"Medium",CallData[[#This Row],[Purchase Amount]]&lt;=150,"High",CallData[[#This Row],[Purchase Amount]]&gt;150,"Very High")</f>
        <v>Low</v>
      </c>
      <c r="I730" s="23">
        <v>3.9</v>
      </c>
      <c r="J730" s="23">
        <f>IF(MONTH('Call Data'!$F730)&lt;=6, YEAR('Call Data'!$F730), YEAR('Call Data'!$F730)+1)</f>
        <v>2024</v>
      </c>
      <c r="K730" s="23" t="str">
        <f>TEXT('Call Data'!$F730,"DDDD")</f>
        <v>Tuesday</v>
      </c>
      <c r="L730" s="23" t="s">
        <v>176</v>
      </c>
      <c r="M730" s="23">
        <f>ROUND('Call Data'!$I730,0)</f>
        <v>4</v>
      </c>
    </row>
    <row r="731" spans="1:13" ht="14.25" customHeight="1" x14ac:dyDescent="0.35">
      <c r="A731" s="23" t="s">
        <v>765</v>
      </c>
      <c r="B731" s="23" t="s">
        <v>18</v>
      </c>
      <c r="C731" s="23">
        <v>76</v>
      </c>
      <c r="D731" s="24" t="str" cm="1">
        <f t="array" ref="D731">_xlfn.IFS(CallData[[#This Row],[Duration]]&lt;=15,"Very short",CallData[[#This Row],[Duration]]&lt;=30,"Short",CallData[[#This Row],[Duration]]&lt;=60,"Medium",CallData[[#This Row],[Duration]]&gt;60,"Long")</f>
        <v>Long</v>
      </c>
      <c r="E731" s="24" t="s">
        <v>35</v>
      </c>
      <c r="F731" s="25">
        <v>45182</v>
      </c>
      <c r="G731" s="26">
        <v>108</v>
      </c>
      <c r="H731" s="26" t="str" cm="1">
        <f t="array" ref="H731">_xlfn.IFS(CallData[[#This Row],[Purchase Amount]]&lt;=50,"Low",CallData[[#This Row],[Purchase Amount]]&lt;=100,"Medium",CallData[[#This Row],[Purchase Amount]]&lt;=150,"High",CallData[[#This Row],[Purchase Amount]]&gt;150,"Very High")</f>
        <v>High</v>
      </c>
      <c r="I731" s="23">
        <v>4.9000000000000004</v>
      </c>
      <c r="J731" s="23">
        <f>IF(MONTH('Call Data'!$F731)&lt;=6, YEAR('Call Data'!$F731), YEAR('Call Data'!$F731)+1)</f>
        <v>2024</v>
      </c>
      <c r="K731" s="23" t="str">
        <f>TEXT('Call Data'!$F731,"DDDD")</f>
        <v>Wednesday</v>
      </c>
      <c r="L731" s="23" t="s">
        <v>14</v>
      </c>
      <c r="M731" s="23">
        <f>ROUND('Call Data'!$I731,0)</f>
        <v>5</v>
      </c>
    </row>
    <row r="732" spans="1:13" ht="14.25" customHeight="1" x14ac:dyDescent="0.35">
      <c r="A732" s="23" t="s">
        <v>766</v>
      </c>
      <c r="B732" s="23" t="s">
        <v>12</v>
      </c>
      <c r="C732" s="23">
        <v>110</v>
      </c>
      <c r="D732" s="24" t="str" cm="1">
        <f t="array" ref="D732">_xlfn.IFS(CallData[[#This Row],[Duration]]&lt;=15,"Very short",CallData[[#This Row],[Duration]]&lt;=30,"Short",CallData[[#This Row],[Duration]]&lt;=60,"Medium",CallData[[#This Row],[Duration]]&gt;60,"Long")</f>
        <v>Long</v>
      </c>
      <c r="E732" s="24" t="s">
        <v>35</v>
      </c>
      <c r="F732" s="25">
        <v>45182</v>
      </c>
      <c r="G732" s="26">
        <v>180</v>
      </c>
      <c r="H732" s="26" t="str" cm="1">
        <f t="array" ref="H732">_xlfn.IFS(CallData[[#This Row],[Purchase Amount]]&lt;=50,"Low",CallData[[#This Row],[Purchase Amount]]&lt;=100,"Medium",CallData[[#This Row],[Purchase Amount]]&lt;=150,"High",CallData[[#This Row],[Purchase Amount]]&gt;150,"Very High")</f>
        <v>Very High</v>
      </c>
      <c r="I732" s="23">
        <v>4.2</v>
      </c>
      <c r="J732" s="23">
        <f>IF(MONTH('Call Data'!$F732)&lt;=6, YEAR('Call Data'!$F732), YEAR('Call Data'!$F732)+1)</f>
        <v>2024</v>
      </c>
      <c r="K732" s="23" t="str">
        <f>TEXT('Call Data'!$F732,"DDDD")</f>
        <v>Wednesday</v>
      </c>
      <c r="L732" s="23" t="s">
        <v>14</v>
      </c>
      <c r="M732" s="23">
        <f>ROUND('Call Data'!$I732,0)</f>
        <v>4</v>
      </c>
    </row>
    <row r="733" spans="1:13" ht="14.25" customHeight="1" x14ac:dyDescent="0.35">
      <c r="A733" s="23" t="s">
        <v>767</v>
      </c>
      <c r="B733" s="23" t="s">
        <v>38</v>
      </c>
      <c r="C733" s="23">
        <v>50</v>
      </c>
      <c r="D733" s="24" t="str" cm="1">
        <f t="array" ref="D733">_xlfn.IFS(CallData[[#This Row],[Duration]]&lt;=15,"Very short",CallData[[#This Row],[Duration]]&lt;=30,"Short",CallData[[#This Row],[Duration]]&lt;=60,"Medium",CallData[[#This Row],[Duration]]&gt;60,"Long")</f>
        <v>Medium</v>
      </c>
      <c r="E733" s="24" t="s">
        <v>24</v>
      </c>
      <c r="F733" s="25">
        <v>45183</v>
      </c>
      <c r="G733" s="26">
        <v>124</v>
      </c>
      <c r="H733" s="26" t="str" cm="1">
        <f t="array" ref="H733">_xlfn.IFS(CallData[[#This Row],[Purchase Amount]]&lt;=50,"Low",CallData[[#This Row],[Purchase Amount]]&lt;=100,"Medium",CallData[[#This Row],[Purchase Amount]]&lt;=150,"High",CallData[[#This Row],[Purchase Amount]]&gt;150,"Very High")</f>
        <v>High</v>
      </c>
      <c r="I733" s="23">
        <v>4</v>
      </c>
      <c r="J733" s="23">
        <f>IF(MONTH('Call Data'!$F733)&lt;=6, YEAR('Call Data'!$F733), YEAR('Call Data'!$F733)+1)</f>
        <v>2024</v>
      </c>
      <c r="K733" s="23" t="str">
        <f>TEXT('Call Data'!$F733,"DDDD")</f>
        <v>Thursday</v>
      </c>
      <c r="L733" s="23" t="s">
        <v>27</v>
      </c>
      <c r="M733" s="23">
        <f>ROUND('Call Data'!$I733,0)</f>
        <v>4</v>
      </c>
    </row>
    <row r="734" spans="1:13" ht="14.25" customHeight="1" x14ac:dyDescent="0.35">
      <c r="A734" s="23" t="s">
        <v>768</v>
      </c>
      <c r="B734" s="23" t="s">
        <v>29</v>
      </c>
      <c r="C734" s="23">
        <v>78</v>
      </c>
      <c r="D734" s="24" t="str" cm="1">
        <f t="array" ref="D734">_xlfn.IFS(CallData[[#This Row],[Duration]]&lt;=15,"Very short",CallData[[#This Row],[Duration]]&lt;=30,"Short",CallData[[#This Row],[Duration]]&lt;=60,"Medium",CallData[[#This Row],[Duration]]&gt;60,"Long")</f>
        <v>Long</v>
      </c>
      <c r="E734" s="24" t="s">
        <v>24</v>
      </c>
      <c r="F734" s="25">
        <v>45183</v>
      </c>
      <c r="G734" s="26">
        <v>23</v>
      </c>
      <c r="H734" s="26" t="str" cm="1">
        <f t="array" ref="H734">_xlfn.IFS(CallData[[#This Row],[Purchase Amount]]&lt;=50,"Low",CallData[[#This Row],[Purchase Amount]]&lt;=100,"Medium",CallData[[#This Row],[Purchase Amount]]&lt;=150,"High",CallData[[#This Row],[Purchase Amount]]&gt;150,"Very High")</f>
        <v>Low</v>
      </c>
      <c r="I734" s="23">
        <v>4.2</v>
      </c>
      <c r="J734" s="23">
        <f>IF(MONTH('Call Data'!$F734)&lt;=6, YEAR('Call Data'!$F734), YEAR('Call Data'!$F734)+1)</f>
        <v>2024</v>
      </c>
      <c r="K734" s="23" t="str">
        <f>TEXT('Call Data'!$F734,"DDDD")</f>
        <v>Thursday</v>
      </c>
      <c r="L734" s="23" t="s">
        <v>14</v>
      </c>
      <c r="M734" s="23">
        <f>ROUND('Call Data'!$I734,0)</f>
        <v>4</v>
      </c>
    </row>
    <row r="735" spans="1:13" ht="14.25" customHeight="1" x14ac:dyDescent="0.35">
      <c r="A735" s="23" t="s">
        <v>769</v>
      </c>
      <c r="B735" s="23" t="s">
        <v>58</v>
      </c>
      <c r="C735" s="23">
        <v>59</v>
      </c>
      <c r="D735" s="24" t="str" cm="1">
        <f t="array" ref="D735">_xlfn.IFS(CallData[[#This Row],[Duration]]&lt;=15,"Very short",CallData[[#This Row],[Duration]]&lt;=30,"Short",CallData[[#This Row],[Duration]]&lt;=60,"Medium",CallData[[#This Row],[Duration]]&gt;60,"Long")</f>
        <v>Medium</v>
      </c>
      <c r="E735" s="24" t="s">
        <v>13</v>
      </c>
      <c r="F735" s="25">
        <v>45184</v>
      </c>
      <c r="G735" s="26">
        <v>24</v>
      </c>
      <c r="H735" s="26" t="str" cm="1">
        <f t="array" ref="H735">_xlfn.IFS(CallData[[#This Row],[Purchase Amount]]&lt;=50,"Low",CallData[[#This Row],[Purchase Amount]]&lt;=100,"Medium",CallData[[#This Row],[Purchase Amount]]&lt;=150,"High",CallData[[#This Row],[Purchase Amount]]&gt;150,"Very High")</f>
        <v>Low</v>
      </c>
      <c r="I735" s="23">
        <v>4.8</v>
      </c>
      <c r="J735" s="23">
        <f>IF(MONTH('Call Data'!$F735)&lt;=6, YEAR('Call Data'!$F735), YEAR('Call Data'!$F735)+1)</f>
        <v>2024</v>
      </c>
      <c r="K735" s="23" t="str">
        <f>TEXT('Call Data'!$F735,"DDDD")</f>
        <v>Friday</v>
      </c>
      <c r="L735" s="23" t="s">
        <v>27</v>
      </c>
      <c r="M735" s="23">
        <f>ROUND('Call Data'!$I735,0)</f>
        <v>5</v>
      </c>
    </row>
    <row r="736" spans="1:13" ht="14.25" customHeight="1" x14ac:dyDescent="0.35">
      <c r="A736" s="23" t="s">
        <v>770</v>
      </c>
      <c r="B736" s="23" t="s">
        <v>29</v>
      </c>
      <c r="C736" s="23">
        <v>126</v>
      </c>
      <c r="D736" s="24" t="str" cm="1">
        <f t="array" ref="D736">_xlfn.IFS(CallData[[#This Row],[Duration]]&lt;=15,"Very short",CallData[[#This Row],[Duration]]&lt;=30,"Short",CallData[[#This Row],[Duration]]&lt;=60,"Medium",CallData[[#This Row],[Duration]]&gt;60,"Long")</f>
        <v>Long</v>
      </c>
      <c r="E736" s="24" t="s">
        <v>19</v>
      </c>
      <c r="F736" s="25">
        <v>45185</v>
      </c>
      <c r="G736" s="26">
        <v>52</v>
      </c>
      <c r="H736" s="26" t="str" cm="1">
        <f t="array" ref="H736">_xlfn.IFS(CallData[[#This Row],[Purchase Amount]]&lt;=50,"Low",CallData[[#This Row],[Purchase Amount]]&lt;=100,"Medium",CallData[[#This Row],[Purchase Amount]]&lt;=150,"High",CallData[[#This Row],[Purchase Amount]]&gt;150,"Very High")</f>
        <v>Medium</v>
      </c>
      <c r="I736" s="23">
        <v>1.1000000000000001</v>
      </c>
      <c r="J736" s="23">
        <f>IF(MONTH('Call Data'!$F736)&lt;=6, YEAR('Call Data'!$F736), YEAR('Call Data'!$F736)+1)</f>
        <v>2024</v>
      </c>
      <c r="K736" s="23" t="str">
        <f>TEXT('Call Data'!$F736,"DDDD")</f>
        <v>Saturday</v>
      </c>
      <c r="L736" s="23" t="s">
        <v>25</v>
      </c>
      <c r="M736" s="23">
        <f>ROUND('Call Data'!$I736,0)</f>
        <v>1</v>
      </c>
    </row>
    <row r="737" spans="1:13" ht="14.25" customHeight="1" x14ac:dyDescent="0.35">
      <c r="A737" s="23" t="s">
        <v>771</v>
      </c>
      <c r="B737" s="23" t="s">
        <v>18</v>
      </c>
      <c r="C737" s="23">
        <v>43</v>
      </c>
      <c r="D737" s="24" t="str" cm="1">
        <f t="array" ref="D737">_xlfn.IFS(CallData[[#This Row],[Duration]]&lt;=15,"Very short",CallData[[#This Row],[Duration]]&lt;=30,"Short",CallData[[#This Row],[Duration]]&lt;=60,"Medium",CallData[[#This Row],[Duration]]&gt;60,"Long")</f>
        <v>Medium</v>
      </c>
      <c r="E737" s="24" t="s">
        <v>13</v>
      </c>
      <c r="F737" s="25">
        <v>45186</v>
      </c>
      <c r="G737" s="26">
        <v>168</v>
      </c>
      <c r="H737" s="26" t="str" cm="1">
        <f t="array" ref="H737">_xlfn.IFS(CallData[[#This Row],[Purchase Amount]]&lt;=50,"Low",CallData[[#This Row],[Purchase Amount]]&lt;=100,"Medium",CallData[[#This Row],[Purchase Amount]]&lt;=150,"High",CallData[[#This Row],[Purchase Amount]]&gt;150,"Very High")</f>
        <v>Very High</v>
      </c>
      <c r="I737" s="23">
        <v>4</v>
      </c>
      <c r="J737" s="23">
        <f>IF(MONTH('Call Data'!$F737)&lt;=6, YEAR('Call Data'!$F737), YEAR('Call Data'!$F737)+1)</f>
        <v>2024</v>
      </c>
      <c r="K737" s="23" t="str">
        <f>TEXT('Call Data'!$F737,"DDDD")</f>
        <v>Sunday</v>
      </c>
      <c r="L737" s="23" t="s">
        <v>27</v>
      </c>
      <c r="M737" s="23">
        <f>ROUND('Call Data'!$I737,0)</f>
        <v>4</v>
      </c>
    </row>
    <row r="738" spans="1:13" ht="14.25" customHeight="1" x14ac:dyDescent="0.35">
      <c r="A738" s="23" t="s">
        <v>772</v>
      </c>
      <c r="B738" s="23" t="s">
        <v>68</v>
      </c>
      <c r="C738" s="23">
        <v>79</v>
      </c>
      <c r="D738" s="24" t="str" cm="1">
        <f t="array" ref="D738">_xlfn.IFS(CallData[[#This Row],[Duration]]&lt;=15,"Very short",CallData[[#This Row],[Duration]]&lt;=30,"Short",CallData[[#This Row],[Duration]]&lt;=60,"Medium",CallData[[#This Row],[Duration]]&gt;60,"Long")</f>
        <v>Long</v>
      </c>
      <c r="E738" s="24" t="s">
        <v>35</v>
      </c>
      <c r="F738" s="25">
        <v>45188</v>
      </c>
      <c r="G738" s="26">
        <v>125</v>
      </c>
      <c r="H738" s="26" t="str" cm="1">
        <f t="array" ref="H738">_xlfn.IFS(CallData[[#This Row],[Purchase Amount]]&lt;=50,"Low",CallData[[#This Row],[Purchase Amount]]&lt;=100,"Medium",CallData[[#This Row],[Purchase Amount]]&lt;=150,"High",CallData[[#This Row],[Purchase Amount]]&gt;150,"Very High")</f>
        <v>High</v>
      </c>
      <c r="I738" s="23">
        <v>4.8</v>
      </c>
      <c r="J738" s="23">
        <f>IF(MONTH('Call Data'!$F738)&lt;=6, YEAR('Call Data'!$F738), YEAR('Call Data'!$F738)+1)</f>
        <v>2024</v>
      </c>
      <c r="K738" s="23" t="str">
        <f>TEXT('Call Data'!$F738,"DDDD")</f>
        <v>Tuesday</v>
      </c>
      <c r="L738" s="23" t="s">
        <v>14</v>
      </c>
      <c r="M738" s="23">
        <f>ROUND('Call Data'!$I738,0)</f>
        <v>5</v>
      </c>
    </row>
    <row r="739" spans="1:13" ht="14.25" customHeight="1" x14ac:dyDescent="0.35">
      <c r="A739" s="23" t="s">
        <v>773</v>
      </c>
      <c r="B739" s="23" t="s">
        <v>12</v>
      </c>
      <c r="C739" s="23">
        <v>71</v>
      </c>
      <c r="D739" s="24" t="str" cm="1">
        <f t="array" ref="D739">_xlfn.IFS(CallData[[#This Row],[Duration]]&lt;=15,"Very short",CallData[[#This Row],[Duration]]&lt;=30,"Short",CallData[[#This Row],[Duration]]&lt;=60,"Medium",CallData[[#This Row],[Duration]]&gt;60,"Long")</f>
        <v>Long</v>
      </c>
      <c r="E739" s="24" t="s">
        <v>13</v>
      </c>
      <c r="F739" s="25">
        <v>45189</v>
      </c>
      <c r="G739" s="26">
        <v>50</v>
      </c>
      <c r="H739" s="26" t="str" cm="1">
        <f t="array" ref="H739">_xlfn.IFS(CallData[[#This Row],[Purchase Amount]]&lt;=50,"Low",CallData[[#This Row],[Purchase Amount]]&lt;=100,"Medium",CallData[[#This Row],[Purchase Amount]]&lt;=150,"High",CallData[[#This Row],[Purchase Amount]]&gt;150,"Very High")</f>
        <v>Low</v>
      </c>
      <c r="I739" s="23">
        <v>4.2</v>
      </c>
      <c r="J739" s="23">
        <f>IF(MONTH('Call Data'!$F739)&lt;=6, YEAR('Call Data'!$F739), YEAR('Call Data'!$F739)+1)</f>
        <v>2024</v>
      </c>
      <c r="K739" s="23" t="str">
        <f>TEXT('Call Data'!$F739,"DDDD")</f>
        <v>Wednesday</v>
      </c>
      <c r="L739" s="23" t="s">
        <v>14</v>
      </c>
      <c r="M739" s="23">
        <f>ROUND('Call Data'!$I739,0)</f>
        <v>4</v>
      </c>
    </row>
    <row r="740" spans="1:13" ht="14.25" customHeight="1" x14ac:dyDescent="0.35">
      <c r="A740" s="23" t="s">
        <v>774</v>
      </c>
      <c r="B740" s="23" t="s">
        <v>46</v>
      </c>
      <c r="C740" s="23">
        <v>94</v>
      </c>
      <c r="D740" s="24" t="str" cm="1">
        <f t="array" ref="D740">_xlfn.IFS(CallData[[#This Row],[Duration]]&lt;=15,"Very short",CallData[[#This Row],[Duration]]&lt;=30,"Short",CallData[[#This Row],[Duration]]&lt;=60,"Medium",CallData[[#This Row],[Duration]]&gt;60,"Long")</f>
        <v>Long</v>
      </c>
      <c r="E740" s="24" t="s">
        <v>19</v>
      </c>
      <c r="F740" s="25">
        <v>45190</v>
      </c>
      <c r="G740" s="26">
        <v>220</v>
      </c>
      <c r="H740" s="26" t="str" cm="1">
        <f t="array" ref="H740">_xlfn.IFS(CallData[[#This Row],[Purchase Amount]]&lt;=50,"Low",CallData[[#This Row],[Purchase Amount]]&lt;=100,"Medium",CallData[[#This Row],[Purchase Amount]]&lt;=150,"High",CallData[[#This Row],[Purchase Amount]]&gt;150,"Very High")</f>
        <v>Very High</v>
      </c>
      <c r="I740" s="23">
        <v>4.5999999999999996</v>
      </c>
      <c r="J740" s="23">
        <f>IF(MONTH('Call Data'!$F740)&lt;=6, YEAR('Call Data'!$F740), YEAR('Call Data'!$F740)+1)</f>
        <v>2024</v>
      </c>
      <c r="K740" s="23" t="str">
        <f>TEXT('Call Data'!$F740,"DDDD")</f>
        <v>Thursday</v>
      </c>
      <c r="L740" s="23" t="s">
        <v>14</v>
      </c>
      <c r="M740" s="23">
        <f>ROUND('Call Data'!$I740,0)</f>
        <v>5</v>
      </c>
    </row>
    <row r="741" spans="1:13" ht="14.25" customHeight="1" x14ac:dyDescent="0.35">
      <c r="A741" s="23" t="s">
        <v>775</v>
      </c>
      <c r="B741" s="23" t="s">
        <v>34</v>
      </c>
      <c r="C741" s="23">
        <v>108</v>
      </c>
      <c r="D741" s="24" t="str" cm="1">
        <f t="array" ref="D741">_xlfn.IFS(CallData[[#This Row],[Duration]]&lt;=15,"Very short",CallData[[#This Row],[Duration]]&lt;=30,"Short",CallData[[#This Row],[Duration]]&lt;=60,"Medium",CallData[[#This Row],[Duration]]&gt;60,"Long")</f>
        <v>Long</v>
      </c>
      <c r="E741" s="24" t="s">
        <v>13</v>
      </c>
      <c r="F741" s="25">
        <v>45190</v>
      </c>
      <c r="G741" s="26">
        <v>180</v>
      </c>
      <c r="H741" s="26" t="str" cm="1">
        <f t="array" ref="H741">_xlfn.IFS(CallData[[#This Row],[Purchase Amount]]&lt;=50,"Low",CallData[[#This Row],[Purchase Amount]]&lt;=100,"Medium",CallData[[#This Row],[Purchase Amount]]&lt;=150,"High",CallData[[#This Row],[Purchase Amount]]&gt;150,"Very High")</f>
        <v>Very High</v>
      </c>
      <c r="I741" s="23">
        <v>4</v>
      </c>
      <c r="J741" s="23">
        <f>IF(MONTH('Call Data'!$F741)&lt;=6, YEAR('Call Data'!$F741), YEAR('Call Data'!$F741)+1)</f>
        <v>2024</v>
      </c>
      <c r="K741" s="23" t="str">
        <f>TEXT('Call Data'!$F741,"DDDD")</f>
        <v>Thursday</v>
      </c>
      <c r="L741" s="23" t="s">
        <v>14</v>
      </c>
      <c r="M741" s="23">
        <f>ROUND('Call Data'!$I741,0)</f>
        <v>4</v>
      </c>
    </row>
    <row r="742" spans="1:13" ht="14.25" customHeight="1" x14ac:dyDescent="0.35">
      <c r="A742" s="23" t="s">
        <v>776</v>
      </c>
      <c r="B742" s="23" t="s">
        <v>18</v>
      </c>
      <c r="C742" s="23">
        <v>76</v>
      </c>
      <c r="D742" s="24" t="str" cm="1">
        <f t="array" ref="D742">_xlfn.IFS(CallData[[#This Row],[Duration]]&lt;=15,"Very short",CallData[[#This Row],[Duration]]&lt;=30,"Short",CallData[[#This Row],[Duration]]&lt;=60,"Medium",CallData[[#This Row],[Duration]]&gt;60,"Long")</f>
        <v>Long</v>
      </c>
      <c r="E742" s="24" t="s">
        <v>19</v>
      </c>
      <c r="F742" s="25">
        <v>45190</v>
      </c>
      <c r="G742" s="26">
        <v>110</v>
      </c>
      <c r="H742" s="26" t="str" cm="1">
        <f t="array" ref="H742">_xlfn.IFS(CallData[[#This Row],[Purchase Amount]]&lt;=50,"Low",CallData[[#This Row],[Purchase Amount]]&lt;=100,"Medium",CallData[[#This Row],[Purchase Amount]]&lt;=150,"High",CallData[[#This Row],[Purchase Amount]]&gt;150,"Very High")</f>
        <v>High</v>
      </c>
      <c r="I742" s="23">
        <v>3.9</v>
      </c>
      <c r="J742" s="23">
        <f>IF(MONTH('Call Data'!$F742)&lt;=6, YEAR('Call Data'!$F742), YEAR('Call Data'!$F742)+1)</f>
        <v>2024</v>
      </c>
      <c r="K742" s="23" t="str">
        <f>TEXT('Call Data'!$F742,"DDDD")</f>
        <v>Thursday</v>
      </c>
      <c r="L742" s="23" t="s">
        <v>14</v>
      </c>
      <c r="M742" s="23">
        <f>ROUND('Call Data'!$I742,0)</f>
        <v>4</v>
      </c>
    </row>
    <row r="743" spans="1:13" ht="14.25" customHeight="1" x14ac:dyDescent="0.35">
      <c r="A743" s="23" t="s">
        <v>777</v>
      </c>
      <c r="B743" s="23" t="s">
        <v>58</v>
      </c>
      <c r="C743" s="23">
        <v>136</v>
      </c>
      <c r="D743" s="24" t="str" cm="1">
        <f t="array" ref="D743">_xlfn.IFS(CallData[[#This Row],[Duration]]&lt;=15,"Very short",CallData[[#This Row],[Duration]]&lt;=30,"Short",CallData[[#This Row],[Duration]]&lt;=60,"Medium",CallData[[#This Row],[Duration]]&gt;60,"Long")</f>
        <v>Long</v>
      </c>
      <c r="E743" s="24" t="s">
        <v>13</v>
      </c>
      <c r="F743" s="25">
        <v>45190</v>
      </c>
      <c r="G743" s="26">
        <v>36</v>
      </c>
      <c r="H743" s="26" t="str" cm="1">
        <f t="array" ref="H743">_xlfn.IFS(CallData[[#This Row],[Purchase Amount]]&lt;=50,"Low",CallData[[#This Row],[Purchase Amount]]&lt;=100,"Medium",CallData[[#This Row],[Purchase Amount]]&lt;=150,"High",CallData[[#This Row],[Purchase Amount]]&gt;150,"Very High")</f>
        <v>Low</v>
      </c>
      <c r="I743" s="23">
        <v>2.8</v>
      </c>
      <c r="J743" s="23">
        <f>IF(MONTH('Call Data'!$F743)&lt;=6, YEAR('Call Data'!$F743), YEAR('Call Data'!$F743)+1)</f>
        <v>2024</v>
      </c>
      <c r="K743" s="23" t="str">
        <f>TEXT('Call Data'!$F743,"DDDD")</f>
        <v>Thursday</v>
      </c>
      <c r="L743" s="23" t="s">
        <v>25</v>
      </c>
      <c r="M743" s="23">
        <f>ROUND('Call Data'!$I743,0)</f>
        <v>3</v>
      </c>
    </row>
    <row r="744" spans="1:13" ht="14.25" customHeight="1" x14ac:dyDescent="0.35">
      <c r="A744" s="23" t="s">
        <v>778</v>
      </c>
      <c r="B744" s="23" t="s">
        <v>16</v>
      </c>
      <c r="C744" s="23">
        <v>129</v>
      </c>
      <c r="D744" s="24" t="str" cm="1">
        <f t="array" ref="D744">_xlfn.IFS(CallData[[#This Row],[Duration]]&lt;=15,"Very short",CallData[[#This Row],[Duration]]&lt;=30,"Short",CallData[[#This Row],[Duration]]&lt;=60,"Medium",CallData[[#This Row],[Duration]]&gt;60,"Long")</f>
        <v>Long</v>
      </c>
      <c r="E744" s="24" t="s">
        <v>24</v>
      </c>
      <c r="F744" s="25">
        <v>45191</v>
      </c>
      <c r="G744" s="26">
        <v>93</v>
      </c>
      <c r="H744" s="26" t="str" cm="1">
        <f t="array" ref="H744">_xlfn.IFS(CallData[[#This Row],[Purchase Amount]]&lt;=50,"Low",CallData[[#This Row],[Purchase Amount]]&lt;=100,"Medium",CallData[[#This Row],[Purchase Amount]]&lt;=150,"High",CallData[[#This Row],[Purchase Amount]]&gt;150,"Very High")</f>
        <v>Medium</v>
      </c>
      <c r="I744" s="23">
        <v>4.7</v>
      </c>
      <c r="J744" s="23">
        <f>IF(MONTH('Call Data'!$F744)&lt;=6, YEAR('Call Data'!$F744), YEAR('Call Data'!$F744)+1)</f>
        <v>2024</v>
      </c>
      <c r="K744" s="23" t="str">
        <f>TEXT('Call Data'!$F744,"DDDD")</f>
        <v>Friday</v>
      </c>
      <c r="L744" s="23" t="s">
        <v>25</v>
      </c>
      <c r="M744" s="23">
        <f>ROUND('Call Data'!$I744,0)</f>
        <v>5</v>
      </c>
    </row>
    <row r="745" spans="1:13" ht="14.25" customHeight="1" x14ac:dyDescent="0.35">
      <c r="A745" s="23" t="s">
        <v>779</v>
      </c>
      <c r="B745" s="23" t="s">
        <v>34</v>
      </c>
      <c r="C745" s="23">
        <v>120</v>
      </c>
      <c r="D745" s="24" t="str" cm="1">
        <f t="array" ref="D745">_xlfn.IFS(CallData[[#This Row],[Duration]]&lt;=15,"Very short",CallData[[#This Row],[Duration]]&lt;=30,"Short",CallData[[#This Row],[Duration]]&lt;=60,"Medium",CallData[[#This Row],[Duration]]&gt;60,"Long")</f>
        <v>Long</v>
      </c>
      <c r="E745" s="24" t="s">
        <v>13</v>
      </c>
      <c r="F745" s="25">
        <v>45191</v>
      </c>
      <c r="G745" s="26">
        <v>38</v>
      </c>
      <c r="H745" s="26" t="str" cm="1">
        <f t="array" ref="H745">_xlfn.IFS(CallData[[#This Row],[Purchase Amount]]&lt;=50,"Low",CallData[[#This Row],[Purchase Amount]]&lt;=100,"Medium",CallData[[#This Row],[Purchase Amount]]&lt;=150,"High",CallData[[#This Row],[Purchase Amount]]&gt;150,"Very High")</f>
        <v>Low</v>
      </c>
      <c r="I745" s="23">
        <v>4.2</v>
      </c>
      <c r="J745" s="23">
        <f>IF(MONTH('Call Data'!$F745)&lt;=6, YEAR('Call Data'!$F745), YEAR('Call Data'!$F745)+1)</f>
        <v>2024</v>
      </c>
      <c r="K745" s="23" t="str">
        <f>TEXT('Call Data'!$F745,"DDDD")</f>
        <v>Friday</v>
      </c>
      <c r="L745" s="23" t="s">
        <v>14</v>
      </c>
      <c r="M745" s="23">
        <f>ROUND('Call Data'!$I745,0)</f>
        <v>4</v>
      </c>
    </row>
    <row r="746" spans="1:13" ht="14.25" customHeight="1" x14ac:dyDescent="0.35">
      <c r="A746" s="23" t="s">
        <v>780</v>
      </c>
      <c r="B746" s="23" t="s">
        <v>18</v>
      </c>
      <c r="C746" s="23">
        <v>108</v>
      </c>
      <c r="D746" s="24" t="str" cm="1">
        <f t="array" ref="D746">_xlfn.IFS(CallData[[#This Row],[Duration]]&lt;=15,"Very short",CallData[[#This Row],[Duration]]&lt;=30,"Short",CallData[[#This Row],[Duration]]&lt;=60,"Medium",CallData[[#This Row],[Duration]]&gt;60,"Long")</f>
        <v>Long</v>
      </c>
      <c r="E746" s="24" t="s">
        <v>24</v>
      </c>
      <c r="F746" s="25">
        <v>45192</v>
      </c>
      <c r="G746" s="26">
        <v>66</v>
      </c>
      <c r="H746" s="26" t="str" cm="1">
        <f t="array" ref="H746">_xlfn.IFS(CallData[[#This Row],[Purchase Amount]]&lt;=50,"Low",CallData[[#This Row],[Purchase Amount]]&lt;=100,"Medium",CallData[[#This Row],[Purchase Amount]]&lt;=150,"High",CallData[[#This Row],[Purchase Amount]]&gt;150,"Very High")</f>
        <v>Medium</v>
      </c>
      <c r="I746" s="23">
        <v>3.9</v>
      </c>
      <c r="J746" s="23">
        <f>IF(MONTH('Call Data'!$F746)&lt;=6, YEAR('Call Data'!$F746), YEAR('Call Data'!$F746)+1)</f>
        <v>2024</v>
      </c>
      <c r="K746" s="23" t="str">
        <f>TEXT('Call Data'!$F746,"DDDD")</f>
        <v>Saturday</v>
      </c>
      <c r="L746" s="23" t="s">
        <v>14</v>
      </c>
      <c r="M746" s="23">
        <f>ROUND('Call Data'!$I746,0)</f>
        <v>4</v>
      </c>
    </row>
    <row r="747" spans="1:13" ht="14.25" customHeight="1" x14ac:dyDescent="0.35">
      <c r="A747" s="23" t="s">
        <v>781</v>
      </c>
      <c r="B747" s="23" t="s">
        <v>29</v>
      </c>
      <c r="C747" s="23">
        <v>79</v>
      </c>
      <c r="D747" s="24" t="str" cm="1">
        <f t="array" ref="D747">_xlfn.IFS(CallData[[#This Row],[Duration]]&lt;=15,"Very short",CallData[[#This Row],[Duration]]&lt;=30,"Short",CallData[[#This Row],[Duration]]&lt;=60,"Medium",CallData[[#This Row],[Duration]]&gt;60,"Long")</f>
        <v>Long</v>
      </c>
      <c r="E747" s="24" t="s">
        <v>13</v>
      </c>
      <c r="F747" s="25">
        <v>45192</v>
      </c>
      <c r="G747" s="26">
        <v>215</v>
      </c>
      <c r="H747" s="26" t="str" cm="1">
        <f t="array" ref="H747">_xlfn.IFS(CallData[[#This Row],[Purchase Amount]]&lt;=50,"Low",CallData[[#This Row],[Purchase Amount]]&lt;=100,"Medium",CallData[[#This Row],[Purchase Amount]]&lt;=150,"High",CallData[[#This Row],[Purchase Amount]]&gt;150,"Very High")</f>
        <v>Very High</v>
      </c>
      <c r="I747" s="23">
        <v>4.5999999999999996</v>
      </c>
      <c r="J747" s="23">
        <f>IF(MONTH('Call Data'!$F747)&lt;=6, YEAR('Call Data'!$F747), YEAR('Call Data'!$F747)+1)</f>
        <v>2024</v>
      </c>
      <c r="K747" s="23" t="str">
        <f>TEXT('Call Data'!$F747,"DDDD")</f>
        <v>Saturday</v>
      </c>
      <c r="L747" s="23" t="s">
        <v>14</v>
      </c>
      <c r="M747" s="23">
        <f>ROUND('Call Data'!$I747,0)</f>
        <v>5</v>
      </c>
    </row>
    <row r="748" spans="1:13" ht="14.25" customHeight="1" x14ac:dyDescent="0.35">
      <c r="A748" s="23" t="s">
        <v>782</v>
      </c>
      <c r="B748" s="23" t="s">
        <v>29</v>
      </c>
      <c r="C748" s="23">
        <v>45</v>
      </c>
      <c r="D748" s="24" t="str" cm="1">
        <f t="array" ref="D748">_xlfn.IFS(CallData[[#This Row],[Duration]]&lt;=15,"Very short",CallData[[#This Row],[Duration]]&lt;=30,"Short",CallData[[#This Row],[Duration]]&lt;=60,"Medium",CallData[[#This Row],[Duration]]&gt;60,"Long")</f>
        <v>Medium</v>
      </c>
      <c r="E748" s="24" t="s">
        <v>24</v>
      </c>
      <c r="F748" s="25">
        <v>45192</v>
      </c>
      <c r="G748" s="26">
        <v>92</v>
      </c>
      <c r="H748" s="26" t="str" cm="1">
        <f t="array" ref="H748">_xlfn.IFS(CallData[[#This Row],[Purchase Amount]]&lt;=50,"Low",CallData[[#This Row],[Purchase Amount]]&lt;=100,"Medium",CallData[[#This Row],[Purchase Amount]]&lt;=150,"High",CallData[[#This Row],[Purchase Amount]]&gt;150,"Very High")</f>
        <v>Medium</v>
      </c>
      <c r="I748" s="23">
        <v>4.3</v>
      </c>
      <c r="J748" s="23">
        <f>IF(MONTH('Call Data'!$F748)&lt;=6, YEAR('Call Data'!$F748), YEAR('Call Data'!$F748)+1)</f>
        <v>2024</v>
      </c>
      <c r="K748" s="23" t="str">
        <f>TEXT('Call Data'!$F748,"DDDD")</f>
        <v>Saturday</v>
      </c>
      <c r="L748" s="23" t="s">
        <v>27</v>
      </c>
      <c r="M748" s="23">
        <f>ROUND('Call Data'!$I748,0)</f>
        <v>4</v>
      </c>
    </row>
    <row r="749" spans="1:13" ht="14.25" customHeight="1" x14ac:dyDescent="0.35">
      <c r="A749" s="23" t="s">
        <v>783</v>
      </c>
      <c r="B749" s="23" t="s">
        <v>23</v>
      </c>
      <c r="C749" s="23">
        <v>96</v>
      </c>
      <c r="D749" s="24" t="str" cm="1">
        <f t="array" ref="D749">_xlfn.IFS(CallData[[#This Row],[Duration]]&lt;=15,"Very short",CallData[[#This Row],[Duration]]&lt;=30,"Short",CallData[[#This Row],[Duration]]&lt;=60,"Medium",CallData[[#This Row],[Duration]]&gt;60,"Long")</f>
        <v>Long</v>
      </c>
      <c r="E749" s="24" t="s">
        <v>13</v>
      </c>
      <c r="F749" s="25">
        <v>45192</v>
      </c>
      <c r="G749" s="26">
        <v>80</v>
      </c>
      <c r="H749" s="26" t="str" cm="1">
        <f t="array" ref="H749">_xlfn.IFS(CallData[[#This Row],[Purchase Amount]]&lt;=50,"Low",CallData[[#This Row],[Purchase Amount]]&lt;=100,"Medium",CallData[[#This Row],[Purchase Amount]]&lt;=150,"High",CallData[[#This Row],[Purchase Amount]]&gt;150,"Very High")</f>
        <v>Medium</v>
      </c>
      <c r="I749" s="23">
        <v>3.6</v>
      </c>
      <c r="J749" s="23">
        <f>IF(MONTH('Call Data'!$F749)&lt;=6, YEAR('Call Data'!$F749), YEAR('Call Data'!$F749)+1)</f>
        <v>2024</v>
      </c>
      <c r="K749" s="23" t="str">
        <f>TEXT('Call Data'!$F749,"DDDD")</f>
        <v>Saturday</v>
      </c>
      <c r="L749" s="23" t="s">
        <v>14</v>
      </c>
      <c r="M749" s="23">
        <f>ROUND('Call Data'!$I749,0)</f>
        <v>4</v>
      </c>
    </row>
    <row r="750" spans="1:13" ht="14.25" customHeight="1" x14ac:dyDescent="0.35">
      <c r="A750" s="23" t="s">
        <v>784</v>
      </c>
      <c r="B750" s="23" t="s">
        <v>23</v>
      </c>
      <c r="C750" s="23">
        <v>81</v>
      </c>
      <c r="D750" s="24" t="str" cm="1">
        <f t="array" ref="D750">_xlfn.IFS(CallData[[#This Row],[Duration]]&lt;=15,"Very short",CallData[[#This Row],[Duration]]&lt;=30,"Short",CallData[[#This Row],[Duration]]&lt;=60,"Medium",CallData[[#This Row],[Duration]]&gt;60,"Long")</f>
        <v>Long</v>
      </c>
      <c r="E750" s="24" t="s">
        <v>13</v>
      </c>
      <c r="F750" s="25">
        <v>45193</v>
      </c>
      <c r="G750" s="26">
        <v>123</v>
      </c>
      <c r="H750" s="26" t="str" cm="1">
        <f t="array" ref="H750">_xlfn.IFS(CallData[[#This Row],[Purchase Amount]]&lt;=50,"Low",CallData[[#This Row],[Purchase Amount]]&lt;=100,"Medium",CallData[[#This Row],[Purchase Amount]]&lt;=150,"High",CallData[[#This Row],[Purchase Amount]]&gt;150,"Very High")</f>
        <v>High</v>
      </c>
      <c r="I750" s="23">
        <v>4.9000000000000004</v>
      </c>
      <c r="J750" s="23">
        <f>IF(MONTH('Call Data'!$F750)&lt;=6, YEAR('Call Data'!$F750), YEAR('Call Data'!$F750)+1)</f>
        <v>2024</v>
      </c>
      <c r="K750" s="23" t="str">
        <f>TEXT('Call Data'!$F750,"DDDD")</f>
        <v>Sunday</v>
      </c>
      <c r="L750" s="23" t="s">
        <v>14</v>
      </c>
      <c r="M750" s="23">
        <f>ROUND('Call Data'!$I750,0)</f>
        <v>5</v>
      </c>
    </row>
    <row r="751" spans="1:13" ht="14.25" customHeight="1" x14ac:dyDescent="0.35">
      <c r="A751" s="23" t="s">
        <v>785</v>
      </c>
      <c r="B751" s="23" t="s">
        <v>58</v>
      </c>
      <c r="C751" s="23">
        <v>95</v>
      </c>
      <c r="D751" s="24" t="str" cm="1">
        <f t="array" ref="D751">_xlfn.IFS(CallData[[#This Row],[Duration]]&lt;=15,"Very short",CallData[[#This Row],[Duration]]&lt;=30,"Short",CallData[[#This Row],[Duration]]&lt;=60,"Medium",CallData[[#This Row],[Duration]]&gt;60,"Long")</f>
        <v>Long</v>
      </c>
      <c r="E751" s="24" t="s">
        <v>31</v>
      </c>
      <c r="F751" s="25">
        <v>45193</v>
      </c>
      <c r="G751" s="26">
        <v>23</v>
      </c>
      <c r="H751" s="26" t="str" cm="1">
        <f t="array" ref="H751">_xlfn.IFS(CallData[[#This Row],[Purchase Amount]]&lt;=50,"Low",CallData[[#This Row],[Purchase Amount]]&lt;=100,"Medium",CallData[[#This Row],[Purchase Amount]]&lt;=150,"High",CallData[[#This Row],[Purchase Amount]]&gt;150,"Very High")</f>
        <v>Low</v>
      </c>
      <c r="I751" s="23">
        <v>2.4</v>
      </c>
      <c r="J751" s="23">
        <f>IF(MONTH('Call Data'!$F751)&lt;=6, YEAR('Call Data'!$F751), YEAR('Call Data'!$F751)+1)</f>
        <v>2024</v>
      </c>
      <c r="K751" s="23" t="str">
        <f>TEXT('Call Data'!$F751,"DDDD")</f>
        <v>Sunday</v>
      </c>
      <c r="L751" s="23" t="s">
        <v>14</v>
      </c>
      <c r="M751" s="23">
        <f>ROUND('Call Data'!$I751,0)</f>
        <v>2</v>
      </c>
    </row>
    <row r="752" spans="1:13" ht="14.25" customHeight="1" x14ac:dyDescent="0.35">
      <c r="A752" s="23" t="s">
        <v>786</v>
      </c>
      <c r="B752" s="23" t="s">
        <v>55</v>
      </c>
      <c r="C752" s="23">
        <v>159</v>
      </c>
      <c r="D752" s="24" t="str" cm="1">
        <f t="array" ref="D752">_xlfn.IFS(CallData[[#This Row],[Duration]]&lt;=15,"Very short",CallData[[#This Row],[Duration]]&lt;=30,"Short",CallData[[#This Row],[Duration]]&lt;=60,"Medium",CallData[[#This Row],[Duration]]&gt;60,"Long")</f>
        <v>Long</v>
      </c>
      <c r="E752" s="24" t="s">
        <v>19</v>
      </c>
      <c r="F752" s="25">
        <v>45193</v>
      </c>
      <c r="G752" s="26">
        <v>63</v>
      </c>
      <c r="H752" s="26" t="str" cm="1">
        <f t="array" ref="H752">_xlfn.IFS(CallData[[#This Row],[Purchase Amount]]&lt;=50,"Low",CallData[[#This Row],[Purchase Amount]]&lt;=100,"Medium",CallData[[#This Row],[Purchase Amount]]&lt;=150,"High",CallData[[#This Row],[Purchase Amount]]&gt;150,"Very High")</f>
        <v>Medium</v>
      </c>
      <c r="I752" s="23">
        <v>4.2</v>
      </c>
      <c r="J752" s="23">
        <f>IF(MONTH('Call Data'!$F752)&lt;=6, YEAR('Call Data'!$F752), YEAR('Call Data'!$F752)+1)</f>
        <v>2024</v>
      </c>
      <c r="K752" s="23" t="str">
        <f>TEXT('Call Data'!$F752,"DDDD")</f>
        <v>Sunday</v>
      </c>
      <c r="L752" s="23" t="s">
        <v>25</v>
      </c>
      <c r="M752" s="23">
        <f>ROUND('Call Data'!$I752,0)</f>
        <v>4</v>
      </c>
    </row>
    <row r="753" spans="1:13" ht="14.25" customHeight="1" x14ac:dyDescent="0.35">
      <c r="A753" s="23" t="s">
        <v>787</v>
      </c>
      <c r="B753" s="23" t="s">
        <v>88</v>
      </c>
      <c r="C753" s="23">
        <v>109</v>
      </c>
      <c r="D753" s="24" t="str" cm="1">
        <f t="array" ref="D753">_xlfn.IFS(CallData[[#This Row],[Duration]]&lt;=15,"Very short",CallData[[#This Row],[Duration]]&lt;=30,"Short",CallData[[#This Row],[Duration]]&lt;=60,"Medium",CallData[[#This Row],[Duration]]&gt;60,"Long")</f>
        <v>Long</v>
      </c>
      <c r="E753" s="24" t="s">
        <v>35</v>
      </c>
      <c r="F753" s="25">
        <v>45193</v>
      </c>
      <c r="G753" s="26">
        <v>52</v>
      </c>
      <c r="H753" s="26" t="str" cm="1">
        <f t="array" ref="H753">_xlfn.IFS(CallData[[#This Row],[Purchase Amount]]&lt;=50,"Low",CallData[[#This Row],[Purchase Amount]]&lt;=100,"Medium",CallData[[#This Row],[Purchase Amount]]&lt;=150,"High",CallData[[#This Row],[Purchase Amount]]&gt;150,"Very High")</f>
        <v>Medium</v>
      </c>
      <c r="I753" s="23">
        <v>3.9</v>
      </c>
      <c r="J753" s="23">
        <f>IF(MONTH('Call Data'!$F753)&lt;=6, YEAR('Call Data'!$F753), YEAR('Call Data'!$F753)+1)</f>
        <v>2024</v>
      </c>
      <c r="K753" s="23" t="str">
        <f>TEXT('Call Data'!$F753,"DDDD")</f>
        <v>Sunday</v>
      </c>
      <c r="L753" s="23" t="s">
        <v>14</v>
      </c>
      <c r="M753" s="23">
        <f>ROUND('Call Data'!$I753,0)</f>
        <v>4</v>
      </c>
    </row>
    <row r="754" spans="1:13" ht="14.25" customHeight="1" x14ac:dyDescent="0.35">
      <c r="A754" s="23" t="s">
        <v>788</v>
      </c>
      <c r="B754" s="23" t="s">
        <v>29</v>
      </c>
      <c r="C754" s="23">
        <v>107</v>
      </c>
      <c r="D754" s="24" t="str" cm="1">
        <f t="array" ref="D754">_xlfn.IFS(CallData[[#This Row],[Duration]]&lt;=15,"Very short",CallData[[#This Row],[Duration]]&lt;=30,"Short",CallData[[#This Row],[Duration]]&lt;=60,"Medium",CallData[[#This Row],[Duration]]&gt;60,"Long")</f>
        <v>Long</v>
      </c>
      <c r="E754" s="24" t="s">
        <v>35</v>
      </c>
      <c r="F754" s="25">
        <v>45193</v>
      </c>
      <c r="G754" s="26">
        <v>60</v>
      </c>
      <c r="H754" s="26" t="str" cm="1">
        <f t="array" ref="H754">_xlfn.IFS(CallData[[#This Row],[Purchase Amount]]&lt;=50,"Low",CallData[[#This Row],[Purchase Amount]]&lt;=100,"Medium",CallData[[#This Row],[Purchase Amount]]&lt;=150,"High",CallData[[#This Row],[Purchase Amount]]&gt;150,"Very High")</f>
        <v>Medium</v>
      </c>
      <c r="I754" s="23">
        <v>4.2</v>
      </c>
      <c r="J754" s="23">
        <f>IF(MONTH('Call Data'!$F754)&lt;=6, YEAR('Call Data'!$F754), YEAR('Call Data'!$F754)+1)</f>
        <v>2024</v>
      </c>
      <c r="K754" s="23" t="str">
        <f>TEXT('Call Data'!$F754,"DDDD")</f>
        <v>Sunday</v>
      </c>
      <c r="L754" s="23" t="s">
        <v>14</v>
      </c>
      <c r="M754" s="23">
        <f>ROUND('Call Data'!$I754,0)</f>
        <v>4</v>
      </c>
    </row>
    <row r="755" spans="1:13" ht="14.25" customHeight="1" x14ac:dyDescent="0.35">
      <c r="A755" s="23" t="s">
        <v>789</v>
      </c>
      <c r="B755" s="23" t="s">
        <v>23</v>
      </c>
      <c r="C755" s="23">
        <v>67</v>
      </c>
      <c r="D755" s="24" t="str" cm="1">
        <f t="array" ref="D755">_xlfn.IFS(CallData[[#This Row],[Duration]]&lt;=15,"Very short",CallData[[#This Row],[Duration]]&lt;=30,"Short",CallData[[#This Row],[Duration]]&lt;=60,"Medium",CallData[[#This Row],[Duration]]&gt;60,"Long")</f>
        <v>Long</v>
      </c>
      <c r="E755" s="24" t="s">
        <v>24</v>
      </c>
      <c r="F755" s="25">
        <v>45194</v>
      </c>
      <c r="G755" s="26">
        <v>87</v>
      </c>
      <c r="H755" s="26" t="str" cm="1">
        <f t="array" ref="H755">_xlfn.IFS(CallData[[#This Row],[Purchase Amount]]&lt;=50,"Low",CallData[[#This Row],[Purchase Amount]]&lt;=100,"Medium",CallData[[#This Row],[Purchase Amount]]&lt;=150,"High",CallData[[#This Row],[Purchase Amount]]&gt;150,"Very High")</f>
        <v>Medium</v>
      </c>
      <c r="I755" s="23">
        <v>3.9</v>
      </c>
      <c r="J755" s="23">
        <f>IF(MONTH('Call Data'!$F755)&lt;=6, YEAR('Call Data'!$F755), YEAR('Call Data'!$F755)+1)</f>
        <v>2024</v>
      </c>
      <c r="K755" s="23" t="str">
        <f>TEXT('Call Data'!$F755,"DDDD")</f>
        <v>Monday</v>
      </c>
      <c r="L755" s="23" t="s">
        <v>14</v>
      </c>
      <c r="M755" s="23">
        <f>ROUND('Call Data'!$I755,0)</f>
        <v>4</v>
      </c>
    </row>
    <row r="756" spans="1:13" ht="14.25" customHeight="1" x14ac:dyDescent="0.35">
      <c r="A756" s="23" t="s">
        <v>790</v>
      </c>
      <c r="B756" s="23" t="s">
        <v>40</v>
      </c>
      <c r="C756" s="23">
        <v>96</v>
      </c>
      <c r="D756" s="24" t="str" cm="1">
        <f t="array" ref="D756">_xlfn.IFS(CallData[[#This Row],[Duration]]&lt;=15,"Very short",CallData[[#This Row],[Duration]]&lt;=30,"Short",CallData[[#This Row],[Duration]]&lt;=60,"Medium",CallData[[#This Row],[Duration]]&gt;60,"Long")</f>
        <v>Long</v>
      </c>
      <c r="E756" s="24" t="s">
        <v>13</v>
      </c>
      <c r="F756" s="25">
        <v>45195</v>
      </c>
      <c r="G756" s="26">
        <v>42</v>
      </c>
      <c r="H756" s="26" t="str" cm="1">
        <f t="array" ref="H756">_xlfn.IFS(CallData[[#This Row],[Purchase Amount]]&lt;=50,"Low",CallData[[#This Row],[Purchase Amount]]&lt;=100,"Medium",CallData[[#This Row],[Purchase Amount]]&lt;=150,"High",CallData[[#This Row],[Purchase Amount]]&gt;150,"Very High")</f>
        <v>Low</v>
      </c>
      <c r="I756" s="23">
        <v>4.5</v>
      </c>
      <c r="J756" s="23">
        <f>IF(MONTH('Call Data'!$F756)&lt;=6, YEAR('Call Data'!$F756), YEAR('Call Data'!$F756)+1)</f>
        <v>2024</v>
      </c>
      <c r="K756" s="23" t="str">
        <f>TEXT('Call Data'!$F756,"DDDD")</f>
        <v>Tuesday</v>
      </c>
      <c r="L756" s="23" t="s">
        <v>14</v>
      </c>
      <c r="M756" s="23">
        <f>ROUND('Call Data'!$I756,0)</f>
        <v>5</v>
      </c>
    </row>
    <row r="757" spans="1:13" ht="14.25" customHeight="1" x14ac:dyDescent="0.35">
      <c r="A757" s="23" t="s">
        <v>791</v>
      </c>
      <c r="B757" s="23" t="s">
        <v>50</v>
      </c>
      <c r="C757" s="23">
        <v>142</v>
      </c>
      <c r="D757" s="24" t="str" cm="1">
        <f t="array" ref="D757">_xlfn.IFS(CallData[[#This Row],[Duration]]&lt;=15,"Very short",CallData[[#This Row],[Duration]]&lt;=30,"Short",CallData[[#This Row],[Duration]]&lt;=60,"Medium",CallData[[#This Row],[Duration]]&gt;60,"Long")</f>
        <v>Long</v>
      </c>
      <c r="E757" s="24" t="s">
        <v>19</v>
      </c>
      <c r="F757" s="25">
        <v>45196</v>
      </c>
      <c r="G757" s="26">
        <v>37</v>
      </c>
      <c r="H757" s="26" t="str" cm="1">
        <f t="array" ref="H757">_xlfn.IFS(CallData[[#This Row],[Purchase Amount]]&lt;=50,"Low",CallData[[#This Row],[Purchase Amount]]&lt;=100,"Medium",CallData[[#This Row],[Purchase Amount]]&lt;=150,"High",CallData[[#This Row],[Purchase Amount]]&gt;150,"Very High")</f>
        <v>Low</v>
      </c>
      <c r="I757" s="23">
        <v>3.8</v>
      </c>
      <c r="J757" s="23">
        <f>IF(MONTH('Call Data'!$F757)&lt;=6, YEAR('Call Data'!$F757), YEAR('Call Data'!$F757)+1)</f>
        <v>2024</v>
      </c>
      <c r="K757" s="23" t="str">
        <f>TEXT('Call Data'!$F757,"DDDD")</f>
        <v>Wednesday</v>
      </c>
      <c r="L757" s="23" t="s">
        <v>25</v>
      </c>
      <c r="M757" s="23">
        <f>ROUND('Call Data'!$I757,0)</f>
        <v>4</v>
      </c>
    </row>
    <row r="758" spans="1:13" ht="14.25" customHeight="1" x14ac:dyDescent="0.35">
      <c r="A758" s="23" t="s">
        <v>792</v>
      </c>
      <c r="B758" s="23" t="s">
        <v>50</v>
      </c>
      <c r="C758" s="23">
        <v>71</v>
      </c>
      <c r="D758" s="24" t="str" cm="1">
        <f t="array" ref="D758">_xlfn.IFS(CallData[[#This Row],[Duration]]&lt;=15,"Very short",CallData[[#This Row],[Duration]]&lt;=30,"Short",CallData[[#This Row],[Duration]]&lt;=60,"Medium",CallData[[#This Row],[Duration]]&gt;60,"Long")</f>
        <v>Long</v>
      </c>
      <c r="E758" s="24" t="s">
        <v>31</v>
      </c>
      <c r="F758" s="25">
        <v>45196</v>
      </c>
      <c r="G758" s="26">
        <v>135</v>
      </c>
      <c r="H758" s="26" t="str" cm="1">
        <f t="array" ref="H758">_xlfn.IFS(CallData[[#This Row],[Purchase Amount]]&lt;=50,"Low",CallData[[#This Row],[Purchase Amount]]&lt;=100,"Medium",CallData[[#This Row],[Purchase Amount]]&lt;=150,"High",CallData[[#This Row],[Purchase Amount]]&gt;150,"Very High")</f>
        <v>High</v>
      </c>
      <c r="I758" s="23">
        <v>3.9</v>
      </c>
      <c r="J758" s="23">
        <f>IF(MONTH('Call Data'!$F758)&lt;=6, YEAR('Call Data'!$F758), YEAR('Call Data'!$F758)+1)</f>
        <v>2024</v>
      </c>
      <c r="K758" s="23" t="str">
        <f>TEXT('Call Data'!$F758,"DDDD")</f>
        <v>Wednesday</v>
      </c>
      <c r="L758" s="23" t="s">
        <v>14</v>
      </c>
      <c r="M758" s="23">
        <f>ROUND('Call Data'!$I758,0)</f>
        <v>4</v>
      </c>
    </row>
    <row r="759" spans="1:13" ht="14.25" customHeight="1" x14ac:dyDescent="0.35">
      <c r="A759" s="23" t="s">
        <v>793</v>
      </c>
      <c r="B759" s="23" t="s">
        <v>40</v>
      </c>
      <c r="C759" s="23">
        <v>152</v>
      </c>
      <c r="D759" s="24" t="str" cm="1">
        <f t="array" ref="D759">_xlfn.IFS(CallData[[#This Row],[Duration]]&lt;=15,"Very short",CallData[[#This Row],[Duration]]&lt;=30,"Short",CallData[[#This Row],[Duration]]&lt;=60,"Medium",CallData[[#This Row],[Duration]]&gt;60,"Long")</f>
        <v>Long</v>
      </c>
      <c r="E759" s="24" t="s">
        <v>31</v>
      </c>
      <c r="F759" s="25">
        <v>45196</v>
      </c>
      <c r="G759" s="26">
        <v>88</v>
      </c>
      <c r="H759" s="26" t="str" cm="1">
        <f t="array" ref="H759">_xlfn.IFS(CallData[[#This Row],[Purchase Amount]]&lt;=50,"Low",CallData[[#This Row],[Purchase Amount]]&lt;=100,"Medium",CallData[[#This Row],[Purchase Amount]]&lt;=150,"High",CallData[[#This Row],[Purchase Amount]]&gt;150,"Very High")</f>
        <v>Medium</v>
      </c>
      <c r="I759" s="23">
        <v>4.7</v>
      </c>
      <c r="J759" s="23">
        <f>IF(MONTH('Call Data'!$F759)&lt;=6, YEAR('Call Data'!$F759), YEAR('Call Data'!$F759)+1)</f>
        <v>2024</v>
      </c>
      <c r="K759" s="23" t="str">
        <f>TEXT('Call Data'!$F759,"DDDD")</f>
        <v>Wednesday</v>
      </c>
      <c r="L759" s="23" t="s">
        <v>25</v>
      </c>
      <c r="M759" s="23">
        <f>ROUND('Call Data'!$I759,0)</f>
        <v>5</v>
      </c>
    </row>
    <row r="760" spans="1:13" ht="14.25" customHeight="1" x14ac:dyDescent="0.35">
      <c r="A760" s="23" t="s">
        <v>794</v>
      </c>
      <c r="B760" s="23" t="s">
        <v>68</v>
      </c>
      <c r="C760" s="23">
        <v>108</v>
      </c>
      <c r="D760" s="24" t="str" cm="1">
        <f t="array" ref="D760">_xlfn.IFS(CallData[[#This Row],[Duration]]&lt;=15,"Very short",CallData[[#This Row],[Duration]]&lt;=30,"Short",CallData[[#This Row],[Duration]]&lt;=60,"Medium",CallData[[#This Row],[Duration]]&gt;60,"Long")</f>
        <v>Long</v>
      </c>
      <c r="E760" s="24" t="s">
        <v>19</v>
      </c>
      <c r="F760" s="25">
        <v>45196</v>
      </c>
      <c r="G760" s="26">
        <v>190</v>
      </c>
      <c r="H760" s="26" t="str" cm="1">
        <f t="array" ref="H760">_xlfn.IFS(CallData[[#This Row],[Purchase Amount]]&lt;=50,"Low",CallData[[#This Row],[Purchase Amount]]&lt;=100,"Medium",CallData[[#This Row],[Purchase Amount]]&lt;=150,"High",CallData[[#This Row],[Purchase Amount]]&gt;150,"Very High")</f>
        <v>Very High</v>
      </c>
      <c r="I760" s="23">
        <v>3.2</v>
      </c>
      <c r="J760" s="23">
        <f>IF(MONTH('Call Data'!$F760)&lt;=6, YEAR('Call Data'!$F760), YEAR('Call Data'!$F760)+1)</f>
        <v>2024</v>
      </c>
      <c r="K760" s="23" t="str">
        <f>TEXT('Call Data'!$F760,"DDDD")</f>
        <v>Wednesday</v>
      </c>
      <c r="L760" s="23" t="s">
        <v>14</v>
      </c>
      <c r="M760" s="23">
        <f>ROUND('Call Data'!$I760,0)</f>
        <v>3</v>
      </c>
    </row>
    <row r="761" spans="1:13" ht="14.25" customHeight="1" x14ac:dyDescent="0.35">
      <c r="A761" s="23" t="s">
        <v>795</v>
      </c>
      <c r="B761" s="23" t="s">
        <v>68</v>
      </c>
      <c r="C761" s="23">
        <v>156</v>
      </c>
      <c r="D761" s="24" t="str" cm="1">
        <f t="array" ref="D761">_xlfn.IFS(CallData[[#This Row],[Duration]]&lt;=15,"Very short",CallData[[#This Row],[Duration]]&lt;=30,"Short",CallData[[#This Row],[Duration]]&lt;=60,"Medium",CallData[[#This Row],[Duration]]&gt;60,"Long")</f>
        <v>Long</v>
      </c>
      <c r="E761" s="24" t="s">
        <v>31</v>
      </c>
      <c r="F761" s="25">
        <v>45196</v>
      </c>
      <c r="G761" s="26">
        <v>81</v>
      </c>
      <c r="H761" s="26" t="str" cm="1">
        <f t="array" ref="H761">_xlfn.IFS(CallData[[#This Row],[Purchase Amount]]&lt;=50,"Low",CallData[[#This Row],[Purchase Amount]]&lt;=100,"Medium",CallData[[#This Row],[Purchase Amount]]&lt;=150,"High",CallData[[#This Row],[Purchase Amount]]&gt;150,"Very High")</f>
        <v>Medium</v>
      </c>
      <c r="I761" s="23">
        <v>5</v>
      </c>
      <c r="J761" s="23">
        <f>IF(MONTH('Call Data'!$F761)&lt;=6, YEAR('Call Data'!$F761), YEAR('Call Data'!$F761)+1)</f>
        <v>2024</v>
      </c>
      <c r="K761" s="23" t="str">
        <f>TEXT('Call Data'!$F761,"DDDD")</f>
        <v>Wednesday</v>
      </c>
      <c r="L761" s="23" t="s">
        <v>25</v>
      </c>
      <c r="M761" s="23">
        <f>ROUND('Call Data'!$I761,0)</f>
        <v>5</v>
      </c>
    </row>
    <row r="762" spans="1:13" ht="14.25" customHeight="1" x14ac:dyDescent="0.35">
      <c r="A762" s="23" t="s">
        <v>796</v>
      </c>
      <c r="B762" s="23" t="s">
        <v>50</v>
      </c>
      <c r="C762" s="23">
        <v>126</v>
      </c>
      <c r="D762" s="24" t="str" cm="1">
        <f t="array" ref="D762">_xlfn.IFS(CallData[[#This Row],[Duration]]&lt;=15,"Very short",CallData[[#This Row],[Duration]]&lt;=30,"Short",CallData[[#This Row],[Duration]]&lt;=60,"Medium",CallData[[#This Row],[Duration]]&gt;60,"Long")</f>
        <v>Long</v>
      </c>
      <c r="E762" s="24" t="s">
        <v>19</v>
      </c>
      <c r="F762" s="25">
        <v>45196</v>
      </c>
      <c r="G762" s="26">
        <v>44</v>
      </c>
      <c r="H762" s="26" t="str" cm="1">
        <f t="array" ref="H762">_xlfn.IFS(CallData[[#This Row],[Purchase Amount]]&lt;=50,"Low",CallData[[#This Row],[Purchase Amount]]&lt;=100,"Medium",CallData[[#This Row],[Purchase Amount]]&lt;=150,"High",CallData[[#This Row],[Purchase Amount]]&gt;150,"Very High")</f>
        <v>Low</v>
      </c>
      <c r="I762" s="23">
        <v>3.7</v>
      </c>
      <c r="J762" s="23">
        <f>IF(MONTH('Call Data'!$F762)&lt;=6, YEAR('Call Data'!$F762), YEAR('Call Data'!$F762)+1)</f>
        <v>2024</v>
      </c>
      <c r="K762" s="23" t="str">
        <f>TEXT('Call Data'!$F762,"DDDD")</f>
        <v>Wednesday</v>
      </c>
      <c r="L762" s="23" t="s">
        <v>25</v>
      </c>
      <c r="M762" s="23">
        <f>ROUND('Call Data'!$I762,0)</f>
        <v>4</v>
      </c>
    </row>
    <row r="763" spans="1:13" ht="14.25" customHeight="1" x14ac:dyDescent="0.35">
      <c r="A763" s="23" t="s">
        <v>797</v>
      </c>
      <c r="B763" s="23" t="s">
        <v>18</v>
      </c>
      <c r="C763" s="23">
        <v>135</v>
      </c>
      <c r="D763" s="24" t="str" cm="1">
        <f t="array" ref="D763">_xlfn.IFS(CallData[[#This Row],[Duration]]&lt;=15,"Very short",CallData[[#This Row],[Duration]]&lt;=30,"Short",CallData[[#This Row],[Duration]]&lt;=60,"Medium",CallData[[#This Row],[Duration]]&gt;60,"Long")</f>
        <v>Long</v>
      </c>
      <c r="E763" s="24" t="s">
        <v>31</v>
      </c>
      <c r="F763" s="25">
        <v>45197</v>
      </c>
      <c r="G763" s="26">
        <v>92</v>
      </c>
      <c r="H763" s="26" t="str" cm="1">
        <f t="array" ref="H763">_xlfn.IFS(CallData[[#This Row],[Purchase Amount]]&lt;=50,"Low",CallData[[#This Row],[Purchase Amount]]&lt;=100,"Medium",CallData[[#This Row],[Purchase Amount]]&lt;=150,"High",CallData[[#This Row],[Purchase Amount]]&gt;150,"Very High")</f>
        <v>Medium</v>
      </c>
      <c r="I763" s="23">
        <v>3.9</v>
      </c>
      <c r="J763" s="23">
        <f>IF(MONTH('Call Data'!$F763)&lt;=6, YEAR('Call Data'!$F763), YEAR('Call Data'!$F763)+1)</f>
        <v>2024</v>
      </c>
      <c r="K763" s="23" t="str">
        <f>TEXT('Call Data'!$F763,"DDDD")</f>
        <v>Thursday</v>
      </c>
      <c r="L763" s="23" t="s">
        <v>25</v>
      </c>
      <c r="M763" s="23">
        <f>ROUND('Call Data'!$I763,0)</f>
        <v>4</v>
      </c>
    </row>
    <row r="764" spans="1:13" ht="14.25" customHeight="1" x14ac:dyDescent="0.35">
      <c r="A764" s="23" t="s">
        <v>798</v>
      </c>
      <c r="B764" s="23" t="s">
        <v>50</v>
      </c>
      <c r="C764" s="23">
        <v>110</v>
      </c>
      <c r="D764" s="24" t="str" cm="1">
        <f t="array" ref="D764">_xlfn.IFS(CallData[[#This Row],[Duration]]&lt;=15,"Very short",CallData[[#This Row],[Duration]]&lt;=30,"Short",CallData[[#This Row],[Duration]]&lt;=60,"Medium",CallData[[#This Row],[Duration]]&gt;60,"Long")</f>
        <v>Long</v>
      </c>
      <c r="E764" s="24" t="s">
        <v>13</v>
      </c>
      <c r="F764" s="25">
        <v>45198</v>
      </c>
      <c r="G764" s="26">
        <v>90</v>
      </c>
      <c r="H764" s="26" t="str" cm="1">
        <f t="array" ref="H764">_xlfn.IFS(CallData[[#This Row],[Purchase Amount]]&lt;=50,"Low",CallData[[#This Row],[Purchase Amount]]&lt;=100,"Medium",CallData[[#This Row],[Purchase Amount]]&lt;=150,"High",CallData[[#This Row],[Purchase Amount]]&gt;150,"Very High")</f>
        <v>Medium</v>
      </c>
      <c r="I764" s="23">
        <v>3.1</v>
      </c>
      <c r="J764" s="23">
        <f>IF(MONTH('Call Data'!$F764)&lt;=6, YEAR('Call Data'!$F764), YEAR('Call Data'!$F764)+1)</f>
        <v>2024</v>
      </c>
      <c r="K764" s="23" t="str">
        <f>TEXT('Call Data'!$F764,"DDDD")</f>
        <v>Friday</v>
      </c>
      <c r="L764" s="23" t="s">
        <v>14</v>
      </c>
      <c r="M764" s="23">
        <f>ROUND('Call Data'!$I764,0)</f>
        <v>3</v>
      </c>
    </row>
    <row r="765" spans="1:13" ht="14.25" customHeight="1" x14ac:dyDescent="0.35">
      <c r="A765" s="23" t="s">
        <v>799</v>
      </c>
      <c r="B765" s="23" t="s">
        <v>55</v>
      </c>
      <c r="C765" s="23">
        <v>64</v>
      </c>
      <c r="D765" s="24" t="str" cm="1">
        <f t="array" ref="D765">_xlfn.IFS(CallData[[#This Row],[Duration]]&lt;=15,"Very short",CallData[[#This Row],[Duration]]&lt;=30,"Short",CallData[[#This Row],[Duration]]&lt;=60,"Medium",CallData[[#This Row],[Duration]]&gt;60,"Long")</f>
        <v>Long</v>
      </c>
      <c r="E765" s="24" t="s">
        <v>31</v>
      </c>
      <c r="F765" s="25">
        <v>45198</v>
      </c>
      <c r="G765" s="26">
        <v>112</v>
      </c>
      <c r="H765" s="26" t="str" cm="1">
        <f t="array" ref="H765">_xlfn.IFS(CallData[[#This Row],[Purchase Amount]]&lt;=50,"Low",CallData[[#This Row],[Purchase Amount]]&lt;=100,"Medium",CallData[[#This Row],[Purchase Amount]]&lt;=150,"High",CallData[[#This Row],[Purchase Amount]]&gt;150,"Very High")</f>
        <v>High</v>
      </c>
      <c r="I765" s="23">
        <v>2</v>
      </c>
      <c r="J765" s="23">
        <f>IF(MONTH('Call Data'!$F765)&lt;=6, YEAR('Call Data'!$F765), YEAR('Call Data'!$F765)+1)</f>
        <v>2024</v>
      </c>
      <c r="K765" s="23" t="str">
        <f>TEXT('Call Data'!$F765,"DDDD")</f>
        <v>Friday</v>
      </c>
      <c r="L765" s="23" t="s">
        <v>14</v>
      </c>
      <c r="M765" s="23">
        <f>ROUND('Call Data'!$I765,0)</f>
        <v>2</v>
      </c>
    </row>
    <row r="766" spans="1:13" ht="14.25" customHeight="1" x14ac:dyDescent="0.35">
      <c r="A766" s="23" t="s">
        <v>800</v>
      </c>
      <c r="B766" s="23" t="s">
        <v>46</v>
      </c>
      <c r="C766" s="23">
        <v>127</v>
      </c>
      <c r="D766" s="24" t="str" cm="1">
        <f t="array" ref="D766">_xlfn.IFS(CallData[[#This Row],[Duration]]&lt;=15,"Very short",CallData[[#This Row],[Duration]]&lt;=30,"Short",CallData[[#This Row],[Duration]]&lt;=60,"Medium",CallData[[#This Row],[Duration]]&gt;60,"Long")</f>
        <v>Long</v>
      </c>
      <c r="E766" s="24" t="s">
        <v>19</v>
      </c>
      <c r="F766" s="25">
        <v>45198</v>
      </c>
      <c r="G766" s="26">
        <v>112</v>
      </c>
      <c r="H766" s="26" t="str" cm="1">
        <f t="array" ref="H766">_xlfn.IFS(CallData[[#This Row],[Purchase Amount]]&lt;=50,"Low",CallData[[#This Row],[Purchase Amount]]&lt;=100,"Medium",CallData[[#This Row],[Purchase Amount]]&lt;=150,"High",CallData[[#This Row],[Purchase Amount]]&gt;150,"Very High")</f>
        <v>High</v>
      </c>
      <c r="I766" s="23">
        <v>4.5999999999999996</v>
      </c>
      <c r="J766" s="23">
        <f>IF(MONTH('Call Data'!$F766)&lt;=6, YEAR('Call Data'!$F766), YEAR('Call Data'!$F766)+1)</f>
        <v>2024</v>
      </c>
      <c r="K766" s="23" t="str">
        <f>TEXT('Call Data'!$F766,"DDDD")</f>
        <v>Friday</v>
      </c>
      <c r="L766" s="23" t="s">
        <v>25</v>
      </c>
      <c r="M766" s="23">
        <f>ROUND('Call Data'!$I766,0)</f>
        <v>5</v>
      </c>
    </row>
    <row r="767" spans="1:13" ht="14.25" customHeight="1" x14ac:dyDescent="0.35">
      <c r="A767" s="23" t="s">
        <v>801</v>
      </c>
      <c r="B767" s="23" t="s">
        <v>88</v>
      </c>
      <c r="C767" s="23">
        <v>124</v>
      </c>
      <c r="D767" s="24" t="str" cm="1">
        <f t="array" ref="D767">_xlfn.IFS(CallData[[#This Row],[Duration]]&lt;=15,"Very short",CallData[[#This Row],[Duration]]&lt;=30,"Short",CallData[[#This Row],[Duration]]&lt;=60,"Medium",CallData[[#This Row],[Duration]]&gt;60,"Long")</f>
        <v>Long</v>
      </c>
      <c r="E767" s="24" t="s">
        <v>24</v>
      </c>
      <c r="F767" s="25">
        <v>45198</v>
      </c>
      <c r="G767" s="26">
        <v>48</v>
      </c>
      <c r="H767" s="26" t="str" cm="1">
        <f t="array" ref="H767">_xlfn.IFS(CallData[[#This Row],[Purchase Amount]]&lt;=50,"Low",CallData[[#This Row],[Purchase Amount]]&lt;=100,"Medium",CallData[[#This Row],[Purchase Amount]]&lt;=150,"High",CallData[[#This Row],[Purchase Amount]]&gt;150,"Very High")</f>
        <v>Low</v>
      </c>
      <c r="I767" s="23">
        <v>3.7</v>
      </c>
      <c r="J767" s="23">
        <f>IF(MONTH('Call Data'!$F767)&lt;=6, YEAR('Call Data'!$F767), YEAR('Call Data'!$F767)+1)</f>
        <v>2024</v>
      </c>
      <c r="K767" s="23" t="str">
        <f>TEXT('Call Data'!$F767,"DDDD")</f>
        <v>Friday</v>
      </c>
      <c r="L767" s="23" t="s">
        <v>25</v>
      </c>
      <c r="M767" s="23">
        <f>ROUND('Call Data'!$I767,0)</f>
        <v>4</v>
      </c>
    </row>
    <row r="768" spans="1:13" ht="14.25" customHeight="1" x14ac:dyDescent="0.35">
      <c r="A768" s="23" t="s">
        <v>802</v>
      </c>
      <c r="B768" s="23" t="s">
        <v>55</v>
      </c>
      <c r="C768" s="23">
        <v>125</v>
      </c>
      <c r="D768" s="24" t="str" cm="1">
        <f t="array" ref="D768">_xlfn.IFS(CallData[[#This Row],[Duration]]&lt;=15,"Very short",CallData[[#This Row],[Duration]]&lt;=30,"Short",CallData[[#This Row],[Duration]]&lt;=60,"Medium",CallData[[#This Row],[Duration]]&gt;60,"Long")</f>
        <v>Long</v>
      </c>
      <c r="E768" s="24" t="s">
        <v>19</v>
      </c>
      <c r="F768" s="25">
        <v>45198</v>
      </c>
      <c r="G768" s="26">
        <v>116</v>
      </c>
      <c r="H768" s="26" t="str" cm="1">
        <f t="array" ref="H768">_xlfn.IFS(CallData[[#This Row],[Purchase Amount]]&lt;=50,"Low",CallData[[#This Row],[Purchase Amount]]&lt;=100,"Medium",CallData[[#This Row],[Purchase Amount]]&lt;=150,"High",CallData[[#This Row],[Purchase Amount]]&gt;150,"Very High")</f>
        <v>High</v>
      </c>
      <c r="I768" s="23">
        <v>4.4000000000000004</v>
      </c>
      <c r="J768" s="23">
        <f>IF(MONTH('Call Data'!$F768)&lt;=6, YEAR('Call Data'!$F768), YEAR('Call Data'!$F768)+1)</f>
        <v>2024</v>
      </c>
      <c r="K768" s="23" t="str">
        <f>TEXT('Call Data'!$F768,"DDDD")</f>
        <v>Friday</v>
      </c>
      <c r="L768" s="23" t="s">
        <v>25</v>
      </c>
      <c r="M768" s="23">
        <f>ROUND('Call Data'!$I768,0)</f>
        <v>4</v>
      </c>
    </row>
    <row r="769" spans="1:13" ht="14.25" customHeight="1" x14ac:dyDescent="0.35">
      <c r="A769" s="23" t="s">
        <v>803</v>
      </c>
      <c r="B769" s="23" t="s">
        <v>16</v>
      </c>
      <c r="C769" s="23">
        <v>70</v>
      </c>
      <c r="D769" s="24" t="str" cm="1">
        <f t="array" ref="D769">_xlfn.IFS(CallData[[#This Row],[Duration]]&lt;=15,"Very short",CallData[[#This Row],[Duration]]&lt;=30,"Short",CallData[[#This Row],[Duration]]&lt;=60,"Medium",CallData[[#This Row],[Duration]]&gt;60,"Long")</f>
        <v>Long</v>
      </c>
      <c r="E769" s="24" t="s">
        <v>19</v>
      </c>
      <c r="F769" s="25">
        <v>45198</v>
      </c>
      <c r="G769" s="26">
        <v>29</v>
      </c>
      <c r="H769" s="26" t="str" cm="1">
        <f t="array" ref="H769">_xlfn.IFS(CallData[[#This Row],[Purchase Amount]]&lt;=50,"Low",CallData[[#This Row],[Purchase Amount]]&lt;=100,"Medium",CallData[[#This Row],[Purchase Amount]]&lt;=150,"High",CallData[[#This Row],[Purchase Amount]]&gt;150,"Very High")</f>
        <v>Low</v>
      </c>
      <c r="I769" s="23">
        <v>2.1</v>
      </c>
      <c r="J769" s="23">
        <f>IF(MONTH('Call Data'!$F769)&lt;=6, YEAR('Call Data'!$F769), YEAR('Call Data'!$F769)+1)</f>
        <v>2024</v>
      </c>
      <c r="K769" s="23" t="str">
        <f>TEXT('Call Data'!$F769,"DDDD")</f>
        <v>Friday</v>
      </c>
      <c r="L769" s="23" t="s">
        <v>14</v>
      </c>
      <c r="M769" s="23">
        <f>ROUND('Call Data'!$I769,0)</f>
        <v>2</v>
      </c>
    </row>
    <row r="770" spans="1:13" ht="14.25" customHeight="1" x14ac:dyDescent="0.35">
      <c r="A770" s="23" t="s">
        <v>804</v>
      </c>
      <c r="B770" s="23" t="s">
        <v>46</v>
      </c>
      <c r="C770" s="23">
        <v>93</v>
      </c>
      <c r="D770" s="24" t="str" cm="1">
        <f t="array" ref="D770">_xlfn.IFS(CallData[[#This Row],[Duration]]&lt;=15,"Very short",CallData[[#This Row],[Duration]]&lt;=30,"Short",CallData[[#This Row],[Duration]]&lt;=60,"Medium",CallData[[#This Row],[Duration]]&gt;60,"Long")</f>
        <v>Long</v>
      </c>
      <c r="E770" s="24" t="s">
        <v>31</v>
      </c>
      <c r="F770" s="25">
        <v>45199</v>
      </c>
      <c r="G770" s="26">
        <v>170</v>
      </c>
      <c r="H770" s="26" t="str" cm="1">
        <f t="array" ref="H770">_xlfn.IFS(CallData[[#This Row],[Purchase Amount]]&lt;=50,"Low",CallData[[#This Row],[Purchase Amount]]&lt;=100,"Medium",CallData[[#This Row],[Purchase Amount]]&lt;=150,"High",CallData[[#This Row],[Purchase Amount]]&gt;150,"Very High")</f>
        <v>Very High</v>
      </c>
      <c r="I770" s="23">
        <v>2.2000000000000002</v>
      </c>
      <c r="J770" s="23">
        <f>IF(MONTH('Call Data'!$F770)&lt;=6, YEAR('Call Data'!$F770), YEAR('Call Data'!$F770)+1)</f>
        <v>2024</v>
      </c>
      <c r="K770" s="23" t="str">
        <f>TEXT('Call Data'!$F770,"DDDD")</f>
        <v>Saturday</v>
      </c>
      <c r="L770" s="23" t="s">
        <v>14</v>
      </c>
      <c r="M770" s="23">
        <f>ROUND('Call Data'!$I770,0)</f>
        <v>2</v>
      </c>
    </row>
    <row r="771" spans="1:13" ht="14.25" customHeight="1" x14ac:dyDescent="0.35">
      <c r="A771" s="23" t="s">
        <v>805</v>
      </c>
      <c r="B771" s="23" t="s">
        <v>16</v>
      </c>
      <c r="C771" s="23">
        <v>120</v>
      </c>
      <c r="D771" s="24" t="str" cm="1">
        <f t="array" ref="D771">_xlfn.IFS(CallData[[#This Row],[Duration]]&lt;=15,"Very short",CallData[[#This Row],[Duration]]&lt;=30,"Short",CallData[[#This Row],[Duration]]&lt;=60,"Medium",CallData[[#This Row],[Duration]]&gt;60,"Long")</f>
        <v>Long</v>
      </c>
      <c r="E771" s="24" t="s">
        <v>35</v>
      </c>
      <c r="F771" s="25">
        <v>45199</v>
      </c>
      <c r="G771" s="26">
        <v>68</v>
      </c>
      <c r="H771" s="26" t="str" cm="1">
        <f t="array" ref="H771">_xlfn.IFS(CallData[[#This Row],[Purchase Amount]]&lt;=50,"Low",CallData[[#This Row],[Purchase Amount]]&lt;=100,"Medium",CallData[[#This Row],[Purchase Amount]]&lt;=150,"High",CallData[[#This Row],[Purchase Amount]]&gt;150,"Very High")</f>
        <v>Medium</v>
      </c>
      <c r="I771" s="23">
        <v>3.4</v>
      </c>
      <c r="J771" s="23">
        <f>IF(MONTH('Call Data'!$F771)&lt;=6, YEAR('Call Data'!$F771), YEAR('Call Data'!$F771)+1)</f>
        <v>2024</v>
      </c>
      <c r="K771" s="23" t="str">
        <f>TEXT('Call Data'!$F771,"DDDD")</f>
        <v>Saturday</v>
      </c>
      <c r="L771" s="23" t="s">
        <v>14</v>
      </c>
      <c r="M771" s="23">
        <f>ROUND('Call Data'!$I771,0)</f>
        <v>3</v>
      </c>
    </row>
    <row r="772" spans="1:13" ht="14.25" customHeight="1" x14ac:dyDescent="0.35">
      <c r="A772" s="23" t="s">
        <v>806</v>
      </c>
      <c r="B772" s="23" t="s">
        <v>23</v>
      </c>
      <c r="C772" s="23">
        <v>96</v>
      </c>
      <c r="D772" s="24" t="str" cm="1">
        <f t="array" ref="D772">_xlfn.IFS(CallData[[#This Row],[Duration]]&lt;=15,"Very short",CallData[[#This Row],[Duration]]&lt;=30,"Short",CallData[[#This Row],[Duration]]&lt;=60,"Medium",CallData[[#This Row],[Duration]]&gt;60,"Long")</f>
        <v>Long</v>
      </c>
      <c r="E772" s="24" t="s">
        <v>13</v>
      </c>
      <c r="F772" s="25">
        <v>45199</v>
      </c>
      <c r="G772" s="26">
        <v>195</v>
      </c>
      <c r="H772" s="26" t="str" cm="1">
        <f t="array" ref="H772">_xlfn.IFS(CallData[[#This Row],[Purchase Amount]]&lt;=50,"Low",CallData[[#This Row],[Purchase Amount]]&lt;=100,"Medium",CallData[[#This Row],[Purchase Amount]]&lt;=150,"High",CallData[[#This Row],[Purchase Amount]]&gt;150,"Very High")</f>
        <v>Very High</v>
      </c>
      <c r="I772" s="23">
        <v>2.7</v>
      </c>
      <c r="J772" s="23">
        <f>IF(MONTH('Call Data'!$F772)&lt;=6, YEAR('Call Data'!$F772), YEAR('Call Data'!$F772)+1)</f>
        <v>2024</v>
      </c>
      <c r="K772" s="23" t="str">
        <f>TEXT('Call Data'!$F772,"DDDD")</f>
        <v>Saturday</v>
      </c>
      <c r="L772" s="23" t="s">
        <v>14</v>
      </c>
      <c r="M772" s="23">
        <f>ROUND('Call Data'!$I772,0)</f>
        <v>3</v>
      </c>
    </row>
    <row r="773" spans="1:13" ht="14.25" customHeight="1" x14ac:dyDescent="0.35">
      <c r="A773" s="23" t="s">
        <v>807</v>
      </c>
      <c r="B773" s="23" t="s">
        <v>21</v>
      </c>
      <c r="C773" s="23">
        <v>67</v>
      </c>
      <c r="D773" s="24" t="str" cm="1">
        <f t="array" ref="D773">_xlfn.IFS(CallData[[#This Row],[Duration]]&lt;=15,"Very short",CallData[[#This Row],[Duration]]&lt;=30,"Short",CallData[[#This Row],[Duration]]&lt;=60,"Medium",CallData[[#This Row],[Duration]]&gt;60,"Long")</f>
        <v>Long</v>
      </c>
      <c r="E773" s="24" t="s">
        <v>13</v>
      </c>
      <c r="F773" s="25">
        <v>45199</v>
      </c>
      <c r="G773" s="26">
        <v>96</v>
      </c>
      <c r="H773" s="26" t="str" cm="1">
        <f t="array" ref="H773">_xlfn.IFS(CallData[[#This Row],[Purchase Amount]]&lt;=50,"Low",CallData[[#This Row],[Purchase Amount]]&lt;=100,"Medium",CallData[[#This Row],[Purchase Amount]]&lt;=150,"High",CallData[[#This Row],[Purchase Amount]]&gt;150,"Very High")</f>
        <v>Medium</v>
      </c>
      <c r="I773" s="23">
        <v>3.7</v>
      </c>
      <c r="J773" s="23">
        <f>IF(MONTH('Call Data'!$F773)&lt;=6, YEAR('Call Data'!$F773), YEAR('Call Data'!$F773)+1)</f>
        <v>2024</v>
      </c>
      <c r="K773" s="23" t="str">
        <f>TEXT('Call Data'!$F773,"DDDD")</f>
        <v>Saturday</v>
      </c>
      <c r="L773" s="23" t="s">
        <v>14</v>
      </c>
      <c r="M773" s="23">
        <f>ROUND('Call Data'!$I773,0)</f>
        <v>4</v>
      </c>
    </row>
    <row r="774" spans="1:13" ht="14.25" customHeight="1" x14ac:dyDescent="0.35">
      <c r="A774" s="23" t="s">
        <v>808</v>
      </c>
      <c r="B774" s="23" t="s">
        <v>55</v>
      </c>
      <c r="C774" s="23">
        <v>119</v>
      </c>
      <c r="D774" s="24" t="str" cm="1">
        <f t="array" ref="D774">_xlfn.IFS(CallData[[#This Row],[Duration]]&lt;=15,"Very short",CallData[[#This Row],[Duration]]&lt;=30,"Short",CallData[[#This Row],[Duration]]&lt;=60,"Medium",CallData[[#This Row],[Duration]]&gt;60,"Long")</f>
        <v>Long</v>
      </c>
      <c r="E774" s="24" t="s">
        <v>13</v>
      </c>
      <c r="F774" s="25">
        <v>45199</v>
      </c>
      <c r="G774" s="26">
        <v>96</v>
      </c>
      <c r="H774" s="26" t="str" cm="1">
        <f t="array" ref="H774">_xlfn.IFS(CallData[[#This Row],[Purchase Amount]]&lt;=50,"Low",CallData[[#This Row],[Purchase Amount]]&lt;=100,"Medium",CallData[[#This Row],[Purchase Amount]]&lt;=150,"High",CallData[[#This Row],[Purchase Amount]]&gt;150,"Very High")</f>
        <v>Medium</v>
      </c>
      <c r="I774" s="23">
        <v>3.1</v>
      </c>
      <c r="J774" s="23">
        <f>IF(MONTH('Call Data'!$F774)&lt;=6, YEAR('Call Data'!$F774), YEAR('Call Data'!$F774)+1)</f>
        <v>2024</v>
      </c>
      <c r="K774" s="23" t="str">
        <f>TEXT('Call Data'!$F774,"DDDD")</f>
        <v>Saturday</v>
      </c>
      <c r="L774" s="23" t="s">
        <v>14</v>
      </c>
      <c r="M774" s="23">
        <f>ROUND('Call Data'!$I774,0)</f>
        <v>3</v>
      </c>
    </row>
    <row r="775" spans="1:13" ht="14.25" customHeight="1" x14ac:dyDescent="0.35">
      <c r="A775" s="23" t="s">
        <v>809</v>
      </c>
      <c r="B775" s="23" t="s">
        <v>88</v>
      </c>
      <c r="C775" s="23">
        <v>61</v>
      </c>
      <c r="D775" s="24" t="str" cm="1">
        <f t="array" ref="D775">_xlfn.IFS(CallData[[#This Row],[Duration]]&lt;=15,"Very short",CallData[[#This Row],[Duration]]&lt;=30,"Short",CallData[[#This Row],[Duration]]&lt;=60,"Medium",CallData[[#This Row],[Duration]]&gt;60,"Long")</f>
        <v>Long</v>
      </c>
      <c r="E775" s="24" t="s">
        <v>24</v>
      </c>
      <c r="F775" s="25">
        <v>45199</v>
      </c>
      <c r="G775" s="26">
        <v>117</v>
      </c>
      <c r="H775" s="26" t="str" cm="1">
        <f t="array" ref="H775">_xlfn.IFS(CallData[[#This Row],[Purchase Amount]]&lt;=50,"Low",CallData[[#This Row],[Purchase Amount]]&lt;=100,"Medium",CallData[[#This Row],[Purchase Amount]]&lt;=150,"High",CallData[[#This Row],[Purchase Amount]]&gt;150,"Very High")</f>
        <v>High</v>
      </c>
      <c r="I775" s="23">
        <v>4.0999999999999996</v>
      </c>
      <c r="J775" s="23">
        <f>IF(MONTH('Call Data'!$F775)&lt;=6, YEAR('Call Data'!$F775), YEAR('Call Data'!$F775)+1)</f>
        <v>2024</v>
      </c>
      <c r="K775" s="23" t="str">
        <f>TEXT('Call Data'!$F775,"DDDD")</f>
        <v>Saturday</v>
      </c>
      <c r="L775" s="23" t="s">
        <v>14</v>
      </c>
      <c r="M775" s="23">
        <f>ROUND('Call Data'!$I775,0)</f>
        <v>4</v>
      </c>
    </row>
    <row r="776" spans="1:13" ht="14.25" customHeight="1" x14ac:dyDescent="0.35">
      <c r="A776" s="23" t="s">
        <v>810</v>
      </c>
      <c r="B776" s="23" t="s">
        <v>23</v>
      </c>
      <c r="C776" s="23">
        <v>29</v>
      </c>
      <c r="D776" s="24" t="str" cm="1">
        <f t="array" ref="D776">_xlfn.IFS(CallData[[#This Row],[Duration]]&lt;=15,"Very short",CallData[[#This Row],[Duration]]&lt;=30,"Short",CallData[[#This Row],[Duration]]&lt;=60,"Medium",CallData[[#This Row],[Duration]]&gt;60,"Long")</f>
        <v>Short</v>
      </c>
      <c r="E776" s="24" t="s">
        <v>31</v>
      </c>
      <c r="F776" s="25">
        <v>45199</v>
      </c>
      <c r="G776" s="26">
        <v>80</v>
      </c>
      <c r="H776" s="26" t="str" cm="1">
        <f t="array" ref="H776">_xlfn.IFS(CallData[[#This Row],[Purchase Amount]]&lt;=50,"Low",CallData[[#This Row],[Purchase Amount]]&lt;=100,"Medium",CallData[[#This Row],[Purchase Amount]]&lt;=150,"High",CallData[[#This Row],[Purchase Amount]]&gt;150,"Very High")</f>
        <v>Medium</v>
      </c>
      <c r="I776" s="23">
        <v>4.8</v>
      </c>
      <c r="J776" s="23">
        <f>IF(MONTH('Call Data'!$F776)&lt;=6, YEAR('Call Data'!$F776), YEAR('Call Data'!$F776)+1)</f>
        <v>2024</v>
      </c>
      <c r="K776" s="23" t="str">
        <f>TEXT('Call Data'!$F776,"DDDD")</f>
        <v>Saturday</v>
      </c>
      <c r="L776" s="23" t="s">
        <v>47</v>
      </c>
      <c r="M776" s="23">
        <f>ROUND('Call Data'!$I776,0)</f>
        <v>5</v>
      </c>
    </row>
    <row r="777" spans="1:13" ht="14.25" customHeight="1" x14ac:dyDescent="0.35">
      <c r="A777" s="23" t="s">
        <v>811</v>
      </c>
      <c r="B777" s="23" t="s">
        <v>40</v>
      </c>
      <c r="C777" s="23">
        <v>134</v>
      </c>
      <c r="D777" s="24" t="str" cm="1">
        <f t="array" ref="D777">_xlfn.IFS(CallData[[#This Row],[Duration]]&lt;=15,"Very short",CallData[[#This Row],[Duration]]&lt;=30,"Short",CallData[[#This Row],[Duration]]&lt;=60,"Medium",CallData[[#This Row],[Duration]]&gt;60,"Long")</f>
        <v>Long</v>
      </c>
      <c r="E777" s="24" t="s">
        <v>35</v>
      </c>
      <c r="F777" s="25">
        <v>45199</v>
      </c>
      <c r="G777" s="26">
        <v>117</v>
      </c>
      <c r="H777" s="26" t="str" cm="1">
        <f t="array" ref="H777">_xlfn.IFS(CallData[[#This Row],[Purchase Amount]]&lt;=50,"Low",CallData[[#This Row],[Purchase Amount]]&lt;=100,"Medium",CallData[[#This Row],[Purchase Amount]]&lt;=150,"High",CallData[[#This Row],[Purchase Amount]]&gt;150,"Very High")</f>
        <v>High</v>
      </c>
      <c r="I777" s="23">
        <v>4</v>
      </c>
      <c r="J777" s="23">
        <f>IF(MONTH('Call Data'!$F777)&lt;=6, YEAR('Call Data'!$F777), YEAR('Call Data'!$F777)+1)</f>
        <v>2024</v>
      </c>
      <c r="K777" s="23" t="str">
        <f>TEXT('Call Data'!$F777,"DDDD")</f>
        <v>Saturday</v>
      </c>
      <c r="L777" s="23" t="s">
        <v>25</v>
      </c>
      <c r="M777" s="23">
        <f>ROUND('Call Data'!$I777,0)</f>
        <v>4</v>
      </c>
    </row>
    <row r="778" spans="1:13" ht="14.25" customHeight="1" x14ac:dyDescent="0.35">
      <c r="A778" s="23" t="s">
        <v>812</v>
      </c>
      <c r="B778" s="23" t="s">
        <v>50</v>
      </c>
      <c r="C778" s="23">
        <v>113</v>
      </c>
      <c r="D778" s="24" t="str" cm="1">
        <f t="array" ref="D778">_xlfn.IFS(CallData[[#This Row],[Duration]]&lt;=15,"Very short",CallData[[#This Row],[Duration]]&lt;=30,"Short",CallData[[#This Row],[Duration]]&lt;=60,"Medium",CallData[[#This Row],[Duration]]&gt;60,"Long")</f>
        <v>Long</v>
      </c>
      <c r="E778" s="24" t="s">
        <v>13</v>
      </c>
      <c r="F778" s="25">
        <v>45200</v>
      </c>
      <c r="G778" s="26">
        <v>40</v>
      </c>
      <c r="H778" s="26" t="str" cm="1">
        <f t="array" ref="H778">_xlfn.IFS(CallData[[#This Row],[Purchase Amount]]&lt;=50,"Low",CallData[[#This Row],[Purchase Amount]]&lt;=100,"Medium",CallData[[#This Row],[Purchase Amount]]&lt;=150,"High",CallData[[#This Row],[Purchase Amount]]&gt;150,"Very High")</f>
        <v>Low</v>
      </c>
      <c r="I778" s="23">
        <v>3</v>
      </c>
      <c r="J778" s="23">
        <f>IF(MONTH('Call Data'!$F778)&lt;=6, YEAR('Call Data'!$F778), YEAR('Call Data'!$F778)+1)</f>
        <v>2024</v>
      </c>
      <c r="K778" s="23" t="str">
        <f>TEXT('Call Data'!$F778,"DDDD")</f>
        <v>Sunday</v>
      </c>
      <c r="L778" s="23" t="s">
        <v>14</v>
      </c>
      <c r="M778" s="23">
        <f>ROUND('Call Data'!$I778,0)</f>
        <v>3</v>
      </c>
    </row>
    <row r="779" spans="1:13" ht="14.25" customHeight="1" x14ac:dyDescent="0.35">
      <c r="A779" s="23" t="s">
        <v>813</v>
      </c>
      <c r="B779" s="23" t="s">
        <v>68</v>
      </c>
      <c r="C779" s="23">
        <v>12</v>
      </c>
      <c r="D779" s="24" t="str" cm="1">
        <f t="array" ref="D779">_xlfn.IFS(CallData[[#This Row],[Duration]]&lt;=15,"Very short",CallData[[#This Row],[Duration]]&lt;=30,"Short",CallData[[#This Row],[Duration]]&lt;=60,"Medium",CallData[[#This Row],[Duration]]&gt;60,"Long")</f>
        <v>Very short</v>
      </c>
      <c r="E779" s="24" t="s">
        <v>35</v>
      </c>
      <c r="F779" s="25">
        <v>45200</v>
      </c>
      <c r="G779" s="26">
        <v>117</v>
      </c>
      <c r="H779" s="26" t="str" cm="1">
        <f t="array" ref="H779">_xlfn.IFS(CallData[[#This Row],[Purchase Amount]]&lt;=50,"Low",CallData[[#This Row],[Purchase Amount]]&lt;=100,"Medium",CallData[[#This Row],[Purchase Amount]]&lt;=150,"High",CallData[[#This Row],[Purchase Amount]]&gt;150,"Very High")</f>
        <v>High</v>
      </c>
      <c r="I779" s="23">
        <v>4.8</v>
      </c>
      <c r="J779" s="23">
        <f>IF(MONTH('Call Data'!$F779)&lt;=6, YEAR('Call Data'!$F779), YEAR('Call Data'!$F779)+1)</f>
        <v>2024</v>
      </c>
      <c r="K779" s="23" t="str">
        <f>TEXT('Call Data'!$F779,"DDDD")</f>
        <v>Sunday</v>
      </c>
      <c r="L779" s="23" t="s">
        <v>47</v>
      </c>
      <c r="M779" s="23">
        <f>ROUND('Call Data'!$I779,0)</f>
        <v>5</v>
      </c>
    </row>
    <row r="780" spans="1:13" ht="14.25" customHeight="1" x14ac:dyDescent="0.35">
      <c r="A780" s="23" t="s">
        <v>814</v>
      </c>
      <c r="B780" s="23" t="s">
        <v>38</v>
      </c>
      <c r="C780" s="23">
        <v>78</v>
      </c>
      <c r="D780" s="24" t="str" cm="1">
        <f t="array" ref="D780">_xlfn.IFS(CallData[[#This Row],[Duration]]&lt;=15,"Very short",CallData[[#This Row],[Duration]]&lt;=30,"Short",CallData[[#This Row],[Duration]]&lt;=60,"Medium",CallData[[#This Row],[Duration]]&gt;60,"Long")</f>
        <v>Long</v>
      </c>
      <c r="E780" s="24" t="s">
        <v>31</v>
      </c>
      <c r="F780" s="25">
        <v>45200</v>
      </c>
      <c r="G780" s="26">
        <v>135</v>
      </c>
      <c r="H780" s="26" t="str" cm="1">
        <f t="array" ref="H780">_xlfn.IFS(CallData[[#This Row],[Purchase Amount]]&lt;=50,"Low",CallData[[#This Row],[Purchase Amount]]&lt;=100,"Medium",CallData[[#This Row],[Purchase Amount]]&lt;=150,"High",CallData[[#This Row],[Purchase Amount]]&gt;150,"Very High")</f>
        <v>High</v>
      </c>
      <c r="I780" s="23">
        <v>4.0999999999999996</v>
      </c>
      <c r="J780" s="23">
        <f>IF(MONTH('Call Data'!$F780)&lt;=6, YEAR('Call Data'!$F780), YEAR('Call Data'!$F780)+1)</f>
        <v>2024</v>
      </c>
      <c r="K780" s="23" t="str">
        <f>TEXT('Call Data'!$F780,"DDDD")</f>
        <v>Sunday</v>
      </c>
      <c r="L780" s="23" t="s">
        <v>14</v>
      </c>
      <c r="M780" s="23">
        <f>ROUND('Call Data'!$I780,0)</f>
        <v>4</v>
      </c>
    </row>
    <row r="781" spans="1:13" ht="14.25" customHeight="1" x14ac:dyDescent="0.35">
      <c r="A781" s="23" t="s">
        <v>815</v>
      </c>
      <c r="B781" s="23" t="s">
        <v>55</v>
      </c>
      <c r="C781" s="23">
        <v>82</v>
      </c>
      <c r="D781" s="24" t="str" cm="1">
        <f t="array" ref="D781">_xlfn.IFS(CallData[[#This Row],[Duration]]&lt;=15,"Very short",CallData[[#This Row],[Duration]]&lt;=30,"Short",CallData[[#This Row],[Duration]]&lt;=60,"Medium",CallData[[#This Row],[Duration]]&gt;60,"Long")</f>
        <v>Long</v>
      </c>
      <c r="E781" s="24" t="s">
        <v>19</v>
      </c>
      <c r="F781" s="25">
        <v>45200</v>
      </c>
      <c r="G781" s="26">
        <v>99</v>
      </c>
      <c r="H781" s="26" t="str" cm="1">
        <f t="array" ref="H781">_xlfn.IFS(CallData[[#This Row],[Purchase Amount]]&lt;=50,"Low",CallData[[#This Row],[Purchase Amount]]&lt;=100,"Medium",CallData[[#This Row],[Purchase Amount]]&lt;=150,"High",CallData[[#This Row],[Purchase Amount]]&gt;150,"Very High")</f>
        <v>Medium</v>
      </c>
      <c r="I781" s="23">
        <v>4.2</v>
      </c>
      <c r="J781" s="23">
        <f>IF(MONTH('Call Data'!$F781)&lt;=6, YEAR('Call Data'!$F781), YEAR('Call Data'!$F781)+1)</f>
        <v>2024</v>
      </c>
      <c r="K781" s="23" t="str">
        <f>TEXT('Call Data'!$F781,"DDDD")</f>
        <v>Sunday</v>
      </c>
      <c r="L781" s="23" t="s">
        <v>14</v>
      </c>
      <c r="M781" s="23">
        <f>ROUND('Call Data'!$I781,0)</f>
        <v>4</v>
      </c>
    </row>
    <row r="782" spans="1:13" ht="14.25" customHeight="1" x14ac:dyDescent="0.35">
      <c r="A782" s="23" t="s">
        <v>816</v>
      </c>
      <c r="B782" s="23" t="s">
        <v>34</v>
      </c>
      <c r="C782" s="23">
        <v>149</v>
      </c>
      <c r="D782" s="24" t="str" cm="1">
        <f t="array" ref="D782">_xlfn.IFS(CallData[[#This Row],[Duration]]&lt;=15,"Very short",CallData[[#This Row],[Duration]]&lt;=30,"Short",CallData[[#This Row],[Duration]]&lt;=60,"Medium",CallData[[#This Row],[Duration]]&gt;60,"Long")</f>
        <v>Long</v>
      </c>
      <c r="E782" s="24" t="s">
        <v>24</v>
      </c>
      <c r="F782" s="25">
        <v>45200</v>
      </c>
      <c r="G782" s="26">
        <v>130</v>
      </c>
      <c r="H782" s="26" t="str" cm="1">
        <f t="array" ref="H782">_xlfn.IFS(CallData[[#This Row],[Purchase Amount]]&lt;=50,"Low",CallData[[#This Row],[Purchase Amount]]&lt;=100,"Medium",CallData[[#This Row],[Purchase Amount]]&lt;=150,"High",CallData[[#This Row],[Purchase Amount]]&gt;150,"Very High")</f>
        <v>High</v>
      </c>
      <c r="I782" s="23">
        <v>3.3</v>
      </c>
      <c r="J782" s="23">
        <f>IF(MONTH('Call Data'!$F782)&lt;=6, YEAR('Call Data'!$F782), YEAR('Call Data'!$F782)+1)</f>
        <v>2024</v>
      </c>
      <c r="K782" s="23" t="str">
        <f>TEXT('Call Data'!$F782,"DDDD")</f>
        <v>Sunday</v>
      </c>
      <c r="L782" s="23" t="s">
        <v>25</v>
      </c>
      <c r="M782" s="23">
        <f>ROUND('Call Data'!$I782,0)</f>
        <v>3</v>
      </c>
    </row>
    <row r="783" spans="1:13" ht="14.25" customHeight="1" x14ac:dyDescent="0.35">
      <c r="A783" s="23" t="s">
        <v>817</v>
      </c>
      <c r="B783" s="23" t="s">
        <v>29</v>
      </c>
      <c r="C783" s="23">
        <v>56</v>
      </c>
      <c r="D783" s="24" t="str" cm="1">
        <f t="array" ref="D783">_xlfn.IFS(CallData[[#This Row],[Duration]]&lt;=15,"Very short",CallData[[#This Row],[Duration]]&lt;=30,"Short",CallData[[#This Row],[Duration]]&lt;=60,"Medium",CallData[[#This Row],[Duration]]&gt;60,"Long")</f>
        <v>Medium</v>
      </c>
      <c r="E783" s="24" t="s">
        <v>35</v>
      </c>
      <c r="F783" s="25">
        <v>45200</v>
      </c>
      <c r="G783" s="26">
        <v>96</v>
      </c>
      <c r="H783" s="26" t="str" cm="1">
        <f t="array" ref="H783">_xlfn.IFS(CallData[[#This Row],[Purchase Amount]]&lt;=50,"Low",CallData[[#This Row],[Purchase Amount]]&lt;=100,"Medium",CallData[[#This Row],[Purchase Amount]]&lt;=150,"High",CallData[[#This Row],[Purchase Amount]]&gt;150,"Very High")</f>
        <v>Medium</v>
      </c>
      <c r="I783" s="23">
        <v>4.7</v>
      </c>
      <c r="J783" s="23">
        <f>IF(MONTH('Call Data'!$F783)&lt;=6, YEAR('Call Data'!$F783), YEAR('Call Data'!$F783)+1)</f>
        <v>2024</v>
      </c>
      <c r="K783" s="23" t="str">
        <f>TEXT('Call Data'!$F783,"DDDD")</f>
        <v>Sunday</v>
      </c>
      <c r="L783" s="23" t="s">
        <v>27</v>
      </c>
      <c r="M783" s="23">
        <f>ROUND('Call Data'!$I783,0)</f>
        <v>5</v>
      </c>
    </row>
    <row r="784" spans="1:13" ht="14.25" customHeight="1" x14ac:dyDescent="0.35">
      <c r="A784" s="23" t="s">
        <v>818</v>
      </c>
      <c r="B784" s="23" t="s">
        <v>23</v>
      </c>
      <c r="C784" s="23">
        <v>80</v>
      </c>
      <c r="D784" s="24" t="str" cm="1">
        <f t="array" ref="D784">_xlfn.IFS(CallData[[#This Row],[Duration]]&lt;=15,"Very short",CallData[[#This Row],[Duration]]&lt;=30,"Short",CallData[[#This Row],[Duration]]&lt;=60,"Medium",CallData[[#This Row],[Duration]]&gt;60,"Long")</f>
        <v>Long</v>
      </c>
      <c r="E784" s="24" t="s">
        <v>24</v>
      </c>
      <c r="F784" s="25">
        <v>45200</v>
      </c>
      <c r="G784" s="26">
        <v>128</v>
      </c>
      <c r="H784" s="26" t="str" cm="1">
        <f t="array" ref="H784">_xlfn.IFS(CallData[[#This Row],[Purchase Amount]]&lt;=50,"Low",CallData[[#This Row],[Purchase Amount]]&lt;=100,"Medium",CallData[[#This Row],[Purchase Amount]]&lt;=150,"High",CallData[[#This Row],[Purchase Amount]]&gt;150,"Very High")</f>
        <v>High</v>
      </c>
      <c r="I784" s="23">
        <v>3.7</v>
      </c>
      <c r="J784" s="23">
        <f>IF(MONTH('Call Data'!$F784)&lt;=6, YEAR('Call Data'!$F784), YEAR('Call Data'!$F784)+1)</f>
        <v>2024</v>
      </c>
      <c r="K784" s="23" t="str">
        <f>TEXT('Call Data'!$F784,"DDDD")</f>
        <v>Sunday</v>
      </c>
      <c r="L784" s="23" t="s">
        <v>14</v>
      </c>
      <c r="M784" s="23">
        <f>ROUND('Call Data'!$I784,0)</f>
        <v>4</v>
      </c>
    </row>
    <row r="785" spans="1:13" ht="14.25" customHeight="1" x14ac:dyDescent="0.35">
      <c r="A785" s="23" t="s">
        <v>819</v>
      </c>
      <c r="B785" s="23" t="s">
        <v>88</v>
      </c>
      <c r="C785" s="23">
        <v>131</v>
      </c>
      <c r="D785" s="24" t="str" cm="1">
        <f t="array" ref="D785">_xlfn.IFS(CallData[[#This Row],[Duration]]&lt;=15,"Very short",CallData[[#This Row],[Duration]]&lt;=30,"Short",CallData[[#This Row],[Duration]]&lt;=60,"Medium",CallData[[#This Row],[Duration]]&gt;60,"Long")</f>
        <v>Long</v>
      </c>
      <c r="E785" s="24" t="s">
        <v>13</v>
      </c>
      <c r="F785" s="25">
        <v>45200</v>
      </c>
      <c r="G785" s="26">
        <v>69</v>
      </c>
      <c r="H785" s="26" t="str" cm="1">
        <f t="array" ref="H785">_xlfn.IFS(CallData[[#This Row],[Purchase Amount]]&lt;=50,"Low",CallData[[#This Row],[Purchase Amount]]&lt;=100,"Medium",CallData[[#This Row],[Purchase Amount]]&lt;=150,"High",CallData[[#This Row],[Purchase Amount]]&gt;150,"Very High")</f>
        <v>Medium</v>
      </c>
      <c r="I785" s="23">
        <v>4.7</v>
      </c>
      <c r="J785" s="23">
        <f>IF(MONTH('Call Data'!$F785)&lt;=6, YEAR('Call Data'!$F785), YEAR('Call Data'!$F785)+1)</f>
        <v>2024</v>
      </c>
      <c r="K785" s="23" t="str">
        <f>TEXT('Call Data'!$F785,"DDDD")</f>
        <v>Sunday</v>
      </c>
      <c r="L785" s="23" t="s">
        <v>25</v>
      </c>
      <c r="M785" s="23">
        <f>ROUND('Call Data'!$I785,0)</f>
        <v>5</v>
      </c>
    </row>
    <row r="786" spans="1:13" ht="14.25" customHeight="1" x14ac:dyDescent="0.35">
      <c r="A786" s="23" t="s">
        <v>820</v>
      </c>
      <c r="B786" s="23" t="s">
        <v>88</v>
      </c>
      <c r="C786" s="23">
        <v>109</v>
      </c>
      <c r="D786" s="24" t="str" cm="1">
        <f t="array" ref="D786">_xlfn.IFS(CallData[[#This Row],[Duration]]&lt;=15,"Very short",CallData[[#This Row],[Duration]]&lt;=30,"Short",CallData[[#This Row],[Duration]]&lt;=60,"Medium",CallData[[#This Row],[Duration]]&gt;60,"Long")</f>
        <v>Long</v>
      </c>
      <c r="E786" s="24" t="s">
        <v>13</v>
      </c>
      <c r="F786" s="25">
        <v>45200</v>
      </c>
      <c r="G786" s="26">
        <v>44</v>
      </c>
      <c r="H786" s="26" t="str" cm="1">
        <f t="array" ref="H786">_xlfn.IFS(CallData[[#This Row],[Purchase Amount]]&lt;=50,"Low",CallData[[#This Row],[Purchase Amount]]&lt;=100,"Medium",CallData[[#This Row],[Purchase Amount]]&lt;=150,"High",CallData[[#This Row],[Purchase Amount]]&gt;150,"Very High")</f>
        <v>Low</v>
      </c>
      <c r="I786" s="23">
        <v>4.5999999999999996</v>
      </c>
      <c r="J786" s="23">
        <f>IF(MONTH('Call Data'!$F786)&lt;=6, YEAR('Call Data'!$F786), YEAR('Call Data'!$F786)+1)</f>
        <v>2024</v>
      </c>
      <c r="K786" s="23" t="str">
        <f>TEXT('Call Data'!$F786,"DDDD")</f>
        <v>Sunday</v>
      </c>
      <c r="L786" s="23" t="s">
        <v>14</v>
      </c>
      <c r="M786" s="23">
        <f>ROUND('Call Data'!$I786,0)</f>
        <v>5</v>
      </c>
    </row>
    <row r="787" spans="1:13" ht="14.25" customHeight="1" x14ac:dyDescent="0.35">
      <c r="A787" s="23" t="s">
        <v>821</v>
      </c>
      <c r="B787" s="23" t="s">
        <v>29</v>
      </c>
      <c r="C787" s="23">
        <v>142</v>
      </c>
      <c r="D787" s="24" t="str" cm="1">
        <f t="array" ref="D787">_xlfn.IFS(CallData[[#This Row],[Duration]]&lt;=15,"Very short",CallData[[#This Row],[Duration]]&lt;=30,"Short",CallData[[#This Row],[Duration]]&lt;=60,"Medium",CallData[[#This Row],[Duration]]&gt;60,"Long")</f>
        <v>Long</v>
      </c>
      <c r="E787" s="24" t="s">
        <v>13</v>
      </c>
      <c r="F787" s="25">
        <v>45200</v>
      </c>
      <c r="G787" s="26">
        <v>44</v>
      </c>
      <c r="H787" s="26" t="str" cm="1">
        <f t="array" ref="H787">_xlfn.IFS(CallData[[#This Row],[Purchase Amount]]&lt;=50,"Low",CallData[[#This Row],[Purchase Amount]]&lt;=100,"Medium",CallData[[#This Row],[Purchase Amount]]&lt;=150,"High",CallData[[#This Row],[Purchase Amount]]&gt;150,"Very High")</f>
        <v>Low</v>
      </c>
      <c r="I787" s="23">
        <v>4.8</v>
      </c>
      <c r="J787" s="23">
        <f>IF(MONTH('Call Data'!$F787)&lt;=6, YEAR('Call Data'!$F787), YEAR('Call Data'!$F787)+1)</f>
        <v>2024</v>
      </c>
      <c r="K787" s="23" t="str">
        <f>TEXT('Call Data'!$F787,"DDDD")</f>
        <v>Sunday</v>
      </c>
      <c r="L787" s="23" t="s">
        <v>25</v>
      </c>
      <c r="M787" s="23">
        <f>ROUND('Call Data'!$I787,0)</f>
        <v>5</v>
      </c>
    </row>
    <row r="788" spans="1:13" ht="14.25" customHeight="1" x14ac:dyDescent="0.35">
      <c r="A788" s="23" t="s">
        <v>822</v>
      </c>
      <c r="B788" s="23" t="s">
        <v>46</v>
      </c>
      <c r="C788" s="23">
        <v>114</v>
      </c>
      <c r="D788" s="24" t="str" cm="1">
        <f t="array" ref="D788">_xlfn.IFS(CallData[[#This Row],[Duration]]&lt;=15,"Very short",CallData[[#This Row],[Duration]]&lt;=30,"Short",CallData[[#This Row],[Duration]]&lt;=60,"Medium",CallData[[#This Row],[Duration]]&gt;60,"Long")</f>
        <v>Long</v>
      </c>
      <c r="E788" s="24" t="s">
        <v>35</v>
      </c>
      <c r="F788" s="25">
        <v>45201</v>
      </c>
      <c r="G788" s="26">
        <v>135</v>
      </c>
      <c r="H788" s="26" t="str" cm="1">
        <f t="array" ref="H788">_xlfn.IFS(CallData[[#This Row],[Purchase Amount]]&lt;=50,"Low",CallData[[#This Row],[Purchase Amount]]&lt;=100,"Medium",CallData[[#This Row],[Purchase Amount]]&lt;=150,"High",CallData[[#This Row],[Purchase Amount]]&gt;150,"Very High")</f>
        <v>High</v>
      </c>
      <c r="I788" s="23">
        <v>2</v>
      </c>
      <c r="J788" s="23">
        <f>IF(MONTH('Call Data'!$F788)&lt;=6, YEAR('Call Data'!$F788), YEAR('Call Data'!$F788)+1)</f>
        <v>2024</v>
      </c>
      <c r="K788" s="23" t="str">
        <f>TEXT('Call Data'!$F788,"DDDD")</f>
        <v>Monday</v>
      </c>
      <c r="L788" s="23" t="s">
        <v>14</v>
      </c>
      <c r="M788" s="23">
        <f>ROUND('Call Data'!$I788,0)</f>
        <v>2</v>
      </c>
    </row>
    <row r="789" spans="1:13" ht="14.25" customHeight="1" x14ac:dyDescent="0.35">
      <c r="A789" s="23" t="s">
        <v>823</v>
      </c>
      <c r="B789" s="23" t="s">
        <v>21</v>
      </c>
      <c r="C789" s="23">
        <v>93</v>
      </c>
      <c r="D789" s="24" t="str" cm="1">
        <f t="array" ref="D789">_xlfn.IFS(CallData[[#This Row],[Duration]]&lt;=15,"Very short",CallData[[#This Row],[Duration]]&lt;=30,"Short",CallData[[#This Row],[Duration]]&lt;=60,"Medium",CallData[[#This Row],[Duration]]&gt;60,"Long")</f>
        <v>Long</v>
      </c>
      <c r="E789" s="24" t="s">
        <v>24</v>
      </c>
      <c r="F789" s="25">
        <v>45201</v>
      </c>
      <c r="G789" s="26">
        <v>45</v>
      </c>
      <c r="H789" s="26" t="str" cm="1">
        <f t="array" ref="H789">_xlfn.IFS(CallData[[#This Row],[Purchase Amount]]&lt;=50,"Low",CallData[[#This Row],[Purchase Amount]]&lt;=100,"Medium",CallData[[#This Row],[Purchase Amount]]&lt;=150,"High",CallData[[#This Row],[Purchase Amount]]&gt;150,"Very High")</f>
        <v>Low</v>
      </c>
      <c r="I789" s="23">
        <v>3.9</v>
      </c>
      <c r="J789" s="23">
        <f>IF(MONTH('Call Data'!$F789)&lt;=6, YEAR('Call Data'!$F789), YEAR('Call Data'!$F789)+1)</f>
        <v>2024</v>
      </c>
      <c r="K789" s="23" t="str">
        <f>TEXT('Call Data'!$F789,"DDDD")</f>
        <v>Monday</v>
      </c>
      <c r="L789" s="23" t="s">
        <v>14</v>
      </c>
      <c r="M789" s="23">
        <f>ROUND('Call Data'!$I789,0)</f>
        <v>4</v>
      </c>
    </row>
    <row r="790" spans="1:13" ht="14.25" customHeight="1" x14ac:dyDescent="0.35">
      <c r="A790" s="23" t="s">
        <v>824</v>
      </c>
      <c r="B790" s="23" t="s">
        <v>68</v>
      </c>
      <c r="C790" s="23">
        <v>43</v>
      </c>
      <c r="D790" s="24" t="str" cm="1">
        <f t="array" ref="D790">_xlfn.IFS(CallData[[#This Row],[Duration]]&lt;=15,"Very short",CallData[[#This Row],[Duration]]&lt;=30,"Short",CallData[[#This Row],[Duration]]&lt;=60,"Medium",CallData[[#This Row],[Duration]]&gt;60,"Long")</f>
        <v>Medium</v>
      </c>
      <c r="E790" s="24" t="s">
        <v>24</v>
      </c>
      <c r="F790" s="25">
        <v>45201</v>
      </c>
      <c r="G790" s="26">
        <v>87</v>
      </c>
      <c r="H790" s="26" t="str" cm="1">
        <f t="array" ref="H790">_xlfn.IFS(CallData[[#This Row],[Purchase Amount]]&lt;=50,"Low",CallData[[#This Row],[Purchase Amount]]&lt;=100,"Medium",CallData[[#This Row],[Purchase Amount]]&lt;=150,"High",CallData[[#This Row],[Purchase Amount]]&gt;150,"Very High")</f>
        <v>Medium</v>
      </c>
      <c r="I790" s="23">
        <v>3</v>
      </c>
      <c r="J790" s="23">
        <f>IF(MONTH('Call Data'!$F790)&lt;=6, YEAR('Call Data'!$F790), YEAR('Call Data'!$F790)+1)</f>
        <v>2024</v>
      </c>
      <c r="K790" s="23" t="str">
        <f>TEXT('Call Data'!$F790,"DDDD")</f>
        <v>Monday</v>
      </c>
      <c r="L790" s="23" t="s">
        <v>27</v>
      </c>
      <c r="M790" s="23">
        <f>ROUND('Call Data'!$I790,0)</f>
        <v>3</v>
      </c>
    </row>
    <row r="791" spans="1:13" ht="14.25" customHeight="1" x14ac:dyDescent="0.35">
      <c r="A791" s="23" t="s">
        <v>825</v>
      </c>
      <c r="B791" s="23" t="s">
        <v>40</v>
      </c>
      <c r="C791" s="23">
        <v>78</v>
      </c>
      <c r="D791" s="24" t="str" cm="1">
        <f t="array" ref="D791">_xlfn.IFS(CallData[[#This Row],[Duration]]&lt;=15,"Very short",CallData[[#This Row],[Duration]]&lt;=30,"Short",CallData[[#This Row],[Duration]]&lt;=60,"Medium",CallData[[#This Row],[Duration]]&gt;60,"Long")</f>
        <v>Long</v>
      </c>
      <c r="E791" s="24" t="s">
        <v>31</v>
      </c>
      <c r="F791" s="25">
        <v>45202</v>
      </c>
      <c r="G791" s="26">
        <v>84</v>
      </c>
      <c r="H791" s="26" t="str" cm="1">
        <f t="array" ref="H791">_xlfn.IFS(CallData[[#This Row],[Purchase Amount]]&lt;=50,"Low",CallData[[#This Row],[Purchase Amount]]&lt;=100,"Medium",CallData[[#This Row],[Purchase Amount]]&lt;=150,"High",CallData[[#This Row],[Purchase Amount]]&gt;150,"Very High")</f>
        <v>Medium</v>
      </c>
      <c r="I791" s="23">
        <v>4.5999999999999996</v>
      </c>
      <c r="J791" s="23">
        <f>IF(MONTH('Call Data'!$F791)&lt;=6, YEAR('Call Data'!$F791), YEAR('Call Data'!$F791)+1)</f>
        <v>2024</v>
      </c>
      <c r="K791" s="23" t="str">
        <f>TEXT('Call Data'!$F791,"DDDD")</f>
        <v>Tuesday</v>
      </c>
      <c r="L791" s="23" t="s">
        <v>14</v>
      </c>
      <c r="M791" s="23">
        <f>ROUND('Call Data'!$I791,0)</f>
        <v>5</v>
      </c>
    </row>
    <row r="792" spans="1:13" ht="14.25" customHeight="1" x14ac:dyDescent="0.35">
      <c r="A792" s="23" t="s">
        <v>826</v>
      </c>
      <c r="B792" s="23" t="s">
        <v>46</v>
      </c>
      <c r="C792" s="23">
        <v>89</v>
      </c>
      <c r="D792" s="24" t="str" cm="1">
        <f t="array" ref="D792">_xlfn.IFS(CallData[[#This Row],[Duration]]&lt;=15,"Very short",CallData[[#This Row],[Duration]]&lt;=30,"Short",CallData[[#This Row],[Duration]]&lt;=60,"Medium",CallData[[#This Row],[Duration]]&gt;60,"Long")</f>
        <v>Long</v>
      </c>
      <c r="E792" s="24" t="s">
        <v>13</v>
      </c>
      <c r="F792" s="25">
        <v>45202</v>
      </c>
      <c r="G792" s="26">
        <v>81</v>
      </c>
      <c r="H792" s="26" t="str" cm="1">
        <f t="array" ref="H792">_xlfn.IFS(CallData[[#This Row],[Purchase Amount]]&lt;=50,"Low",CallData[[#This Row],[Purchase Amount]]&lt;=100,"Medium",CallData[[#This Row],[Purchase Amount]]&lt;=150,"High",CallData[[#This Row],[Purchase Amount]]&gt;150,"Very High")</f>
        <v>Medium</v>
      </c>
      <c r="I792" s="23">
        <v>3.8</v>
      </c>
      <c r="J792" s="23">
        <f>IF(MONTH('Call Data'!$F792)&lt;=6, YEAR('Call Data'!$F792), YEAR('Call Data'!$F792)+1)</f>
        <v>2024</v>
      </c>
      <c r="K792" s="23" t="str">
        <f>TEXT('Call Data'!$F792,"DDDD")</f>
        <v>Tuesday</v>
      </c>
      <c r="L792" s="23" t="s">
        <v>14</v>
      </c>
      <c r="M792" s="23">
        <f>ROUND('Call Data'!$I792,0)</f>
        <v>4</v>
      </c>
    </row>
    <row r="793" spans="1:13" ht="14.25" customHeight="1" x14ac:dyDescent="0.35">
      <c r="A793" s="23" t="s">
        <v>827</v>
      </c>
      <c r="B793" s="23" t="s">
        <v>29</v>
      </c>
      <c r="C793" s="23">
        <v>82</v>
      </c>
      <c r="D793" s="24" t="str" cm="1">
        <f t="array" ref="D793">_xlfn.IFS(CallData[[#This Row],[Duration]]&lt;=15,"Very short",CallData[[#This Row],[Duration]]&lt;=30,"Short",CallData[[#This Row],[Duration]]&lt;=60,"Medium",CallData[[#This Row],[Duration]]&gt;60,"Long")</f>
        <v>Long</v>
      </c>
      <c r="E793" s="24" t="s">
        <v>19</v>
      </c>
      <c r="F793" s="25">
        <v>45202</v>
      </c>
      <c r="G793" s="26">
        <v>130</v>
      </c>
      <c r="H793" s="26" t="str" cm="1">
        <f t="array" ref="H793">_xlfn.IFS(CallData[[#This Row],[Purchase Amount]]&lt;=50,"Low",CallData[[#This Row],[Purchase Amount]]&lt;=100,"Medium",CallData[[#This Row],[Purchase Amount]]&lt;=150,"High",CallData[[#This Row],[Purchase Amount]]&gt;150,"Very High")</f>
        <v>High</v>
      </c>
      <c r="I793" s="23">
        <v>4.4000000000000004</v>
      </c>
      <c r="J793" s="23">
        <f>IF(MONTH('Call Data'!$F793)&lt;=6, YEAR('Call Data'!$F793), YEAR('Call Data'!$F793)+1)</f>
        <v>2024</v>
      </c>
      <c r="K793" s="23" t="str">
        <f>TEXT('Call Data'!$F793,"DDDD")</f>
        <v>Tuesday</v>
      </c>
      <c r="L793" s="23" t="s">
        <v>14</v>
      </c>
      <c r="M793" s="23">
        <f>ROUND('Call Data'!$I793,0)</f>
        <v>4</v>
      </c>
    </row>
    <row r="794" spans="1:13" ht="14.25" customHeight="1" x14ac:dyDescent="0.35">
      <c r="A794" s="23" t="s">
        <v>828</v>
      </c>
      <c r="B794" s="23" t="s">
        <v>23</v>
      </c>
      <c r="C794" s="23">
        <v>86</v>
      </c>
      <c r="D794" s="24" t="str" cm="1">
        <f t="array" ref="D794">_xlfn.IFS(CallData[[#This Row],[Duration]]&lt;=15,"Very short",CallData[[#This Row],[Duration]]&lt;=30,"Short",CallData[[#This Row],[Duration]]&lt;=60,"Medium",CallData[[#This Row],[Duration]]&gt;60,"Long")</f>
        <v>Long</v>
      </c>
      <c r="E794" s="24" t="s">
        <v>13</v>
      </c>
      <c r="F794" s="25">
        <v>45203</v>
      </c>
      <c r="G794" s="26">
        <v>92</v>
      </c>
      <c r="H794" s="26" t="str" cm="1">
        <f t="array" ref="H794">_xlfn.IFS(CallData[[#This Row],[Purchase Amount]]&lt;=50,"Low",CallData[[#This Row],[Purchase Amount]]&lt;=100,"Medium",CallData[[#This Row],[Purchase Amount]]&lt;=150,"High",CallData[[#This Row],[Purchase Amount]]&gt;150,"Very High")</f>
        <v>Medium</v>
      </c>
      <c r="I794" s="23">
        <v>2.4</v>
      </c>
      <c r="J794" s="23">
        <f>IF(MONTH('Call Data'!$F794)&lt;=6, YEAR('Call Data'!$F794), YEAR('Call Data'!$F794)+1)</f>
        <v>2024</v>
      </c>
      <c r="K794" s="23" t="str">
        <f>TEXT('Call Data'!$F794,"DDDD")</f>
        <v>Wednesday</v>
      </c>
      <c r="L794" s="23" t="s">
        <v>14</v>
      </c>
      <c r="M794" s="23">
        <f>ROUND('Call Data'!$I794,0)</f>
        <v>2</v>
      </c>
    </row>
    <row r="795" spans="1:13" ht="14.25" customHeight="1" x14ac:dyDescent="0.35">
      <c r="A795" s="23" t="s">
        <v>829</v>
      </c>
      <c r="B795" s="23" t="s">
        <v>58</v>
      </c>
      <c r="C795" s="23">
        <v>57</v>
      </c>
      <c r="D795" s="24" t="str" cm="1">
        <f t="array" ref="D795">_xlfn.IFS(CallData[[#This Row],[Duration]]&lt;=15,"Very short",CallData[[#This Row],[Duration]]&lt;=30,"Short",CallData[[#This Row],[Duration]]&lt;=60,"Medium",CallData[[#This Row],[Duration]]&gt;60,"Long")</f>
        <v>Medium</v>
      </c>
      <c r="E795" s="24" t="s">
        <v>31</v>
      </c>
      <c r="F795" s="25">
        <v>45203</v>
      </c>
      <c r="G795" s="26">
        <v>48</v>
      </c>
      <c r="H795" s="26" t="str" cm="1">
        <f t="array" ref="H795">_xlfn.IFS(CallData[[#This Row],[Purchase Amount]]&lt;=50,"Low",CallData[[#This Row],[Purchase Amount]]&lt;=100,"Medium",CallData[[#This Row],[Purchase Amount]]&lt;=150,"High",CallData[[#This Row],[Purchase Amount]]&gt;150,"Very High")</f>
        <v>Low</v>
      </c>
      <c r="I795" s="23">
        <v>4.5</v>
      </c>
      <c r="J795" s="23">
        <f>IF(MONTH('Call Data'!$F795)&lt;=6, YEAR('Call Data'!$F795), YEAR('Call Data'!$F795)+1)</f>
        <v>2024</v>
      </c>
      <c r="K795" s="23" t="str">
        <f>TEXT('Call Data'!$F795,"DDDD")</f>
        <v>Wednesday</v>
      </c>
      <c r="L795" s="23" t="s">
        <v>27</v>
      </c>
      <c r="M795" s="23">
        <f>ROUND('Call Data'!$I795,0)</f>
        <v>5</v>
      </c>
    </row>
    <row r="796" spans="1:13" ht="14.25" customHeight="1" x14ac:dyDescent="0.35">
      <c r="A796" s="23" t="s">
        <v>830</v>
      </c>
      <c r="B796" s="23" t="s">
        <v>21</v>
      </c>
      <c r="C796" s="23">
        <v>103</v>
      </c>
      <c r="D796" s="24" t="str" cm="1">
        <f t="array" ref="D796">_xlfn.IFS(CallData[[#This Row],[Duration]]&lt;=15,"Very short",CallData[[#This Row],[Duration]]&lt;=30,"Short",CallData[[#This Row],[Duration]]&lt;=60,"Medium",CallData[[#This Row],[Duration]]&gt;60,"Long")</f>
        <v>Long</v>
      </c>
      <c r="E796" s="24" t="s">
        <v>35</v>
      </c>
      <c r="F796" s="25">
        <v>45203</v>
      </c>
      <c r="G796" s="26">
        <v>160</v>
      </c>
      <c r="H796" s="26" t="str" cm="1">
        <f t="array" ref="H796">_xlfn.IFS(CallData[[#This Row],[Purchase Amount]]&lt;=50,"Low",CallData[[#This Row],[Purchase Amount]]&lt;=100,"Medium",CallData[[#This Row],[Purchase Amount]]&lt;=150,"High",CallData[[#This Row],[Purchase Amount]]&gt;150,"Very High")</f>
        <v>Very High</v>
      </c>
      <c r="I796" s="23">
        <v>4.5</v>
      </c>
      <c r="J796" s="23">
        <f>IF(MONTH('Call Data'!$F796)&lt;=6, YEAR('Call Data'!$F796), YEAR('Call Data'!$F796)+1)</f>
        <v>2024</v>
      </c>
      <c r="K796" s="23" t="str">
        <f>TEXT('Call Data'!$F796,"DDDD")</f>
        <v>Wednesday</v>
      </c>
      <c r="L796" s="23" t="s">
        <v>14</v>
      </c>
      <c r="M796" s="23">
        <f>ROUND('Call Data'!$I796,0)</f>
        <v>5</v>
      </c>
    </row>
    <row r="797" spans="1:13" ht="14.25" customHeight="1" x14ac:dyDescent="0.35">
      <c r="A797" s="23" t="s">
        <v>831</v>
      </c>
      <c r="B797" s="23" t="s">
        <v>38</v>
      </c>
      <c r="C797" s="23">
        <v>138</v>
      </c>
      <c r="D797" s="24" t="str" cm="1">
        <f t="array" ref="D797">_xlfn.IFS(CallData[[#This Row],[Duration]]&lt;=15,"Very short",CallData[[#This Row],[Duration]]&lt;=30,"Short",CallData[[#This Row],[Duration]]&lt;=60,"Medium",CallData[[#This Row],[Duration]]&gt;60,"Long")</f>
        <v>Long</v>
      </c>
      <c r="E797" s="24" t="s">
        <v>31</v>
      </c>
      <c r="F797" s="25">
        <v>45204</v>
      </c>
      <c r="G797" s="26">
        <v>155</v>
      </c>
      <c r="H797" s="26" t="str" cm="1">
        <f t="array" ref="H797">_xlfn.IFS(CallData[[#This Row],[Purchase Amount]]&lt;=50,"Low",CallData[[#This Row],[Purchase Amount]]&lt;=100,"Medium",CallData[[#This Row],[Purchase Amount]]&lt;=150,"High",CallData[[#This Row],[Purchase Amount]]&gt;150,"Very High")</f>
        <v>Very High</v>
      </c>
      <c r="I797" s="23">
        <v>2.7</v>
      </c>
      <c r="J797" s="23">
        <f>IF(MONTH('Call Data'!$F797)&lt;=6, YEAR('Call Data'!$F797), YEAR('Call Data'!$F797)+1)</f>
        <v>2024</v>
      </c>
      <c r="K797" s="23" t="str">
        <f>TEXT('Call Data'!$F797,"DDDD")</f>
        <v>Thursday</v>
      </c>
      <c r="L797" s="23" t="s">
        <v>25</v>
      </c>
      <c r="M797" s="23">
        <f>ROUND('Call Data'!$I797,0)</f>
        <v>3</v>
      </c>
    </row>
    <row r="798" spans="1:13" ht="14.25" customHeight="1" x14ac:dyDescent="0.35">
      <c r="A798" s="23" t="s">
        <v>832</v>
      </c>
      <c r="B798" s="23" t="s">
        <v>34</v>
      </c>
      <c r="C798" s="23">
        <v>88</v>
      </c>
      <c r="D798" s="24" t="str" cm="1">
        <f t="array" ref="D798">_xlfn.IFS(CallData[[#This Row],[Duration]]&lt;=15,"Very short",CallData[[#This Row],[Duration]]&lt;=30,"Short",CallData[[#This Row],[Duration]]&lt;=60,"Medium",CallData[[#This Row],[Duration]]&gt;60,"Long")</f>
        <v>Long</v>
      </c>
      <c r="E798" s="24" t="s">
        <v>19</v>
      </c>
      <c r="F798" s="25">
        <v>45204</v>
      </c>
      <c r="G798" s="26">
        <v>100</v>
      </c>
      <c r="H798" s="26" t="str" cm="1">
        <f t="array" ref="H798">_xlfn.IFS(CallData[[#This Row],[Purchase Amount]]&lt;=50,"Low",CallData[[#This Row],[Purchase Amount]]&lt;=100,"Medium",CallData[[#This Row],[Purchase Amount]]&lt;=150,"High",CallData[[#This Row],[Purchase Amount]]&gt;150,"Very High")</f>
        <v>Medium</v>
      </c>
      <c r="I798" s="23">
        <v>4.9000000000000004</v>
      </c>
      <c r="J798" s="23">
        <f>IF(MONTH('Call Data'!$F798)&lt;=6, YEAR('Call Data'!$F798), YEAR('Call Data'!$F798)+1)</f>
        <v>2024</v>
      </c>
      <c r="K798" s="23" t="str">
        <f>TEXT('Call Data'!$F798,"DDDD")</f>
        <v>Thursday</v>
      </c>
      <c r="L798" s="23" t="s">
        <v>14</v>
      </c>
      <c r="M798" s="23">
        <f>ROUND('Call Data'!$I798,0)</f>
        <v>5</v>
      </c>
    </row>
    <row r="799" spans="1:13" ht="14.25" customHeight="1" x14ac:dyDescent="0.35">
      <c r="A799" s="23" t="s">
        <v>833</v>
      </c>
      <c r="B799" s="23" t="s">
        <v>46</v>
      </c>
      <c r="C799" s="23">
        <v>118</v>
      </c>
      <c r="D799" s="24" t="str" cm="1">
        <f t="array" ref="D799">_xlfn.IFS(CallData[[#This Row],[Duration]]&lt;=15,"Very short",CallData[[#This Row],[Duration]]&lt;=30,"Short",CallData[[#This Row],[Duration]]&lt;=60,"Medium",CallData[[#This Row],[Duration]]&gt;60,"Long")</f>
        <v>Long</v>
      </c>
      <c r="E799" s="24" t="s">
        <v>24</v>
      </c>
      <c r="F799" s="25">
        <v>45204</v>
      </c>
      <c r="G799" s="26">
        <v>56</v>
      </c>
      <c r="H799" s="26" t="str" cm="1">
        <f t="array" ref="H799">_xlfn.IFS(CallData[[#This Row],[Purchase Amount]]&lt;=50,"Low",CallData[[#This Row],[Purchase Amount]]&lt;=100,"Medium",CallData[[#This Row],[Purchase Amount]]&lt;=150,"High",CallData[[#This Row],[Purchase Amount]]&gt;150,"Very High")</f>
        <v>Medium</v>
      </c>
      <c r="I799" s="23">
        <v>3.7</v>
      </c>
      <c r="J799" s="23">
        <f>IF(MONTH('Call Data'!$F799)&lt;=6, YEAR('Call Data'!$F799), YEAR('Call Data'!$F799)+1)</f>
        <v>2024</v>
      </c>
      <c r="K799" s="23" t="str">
        <f>TEXT('Call Data'!$F799,"DDDD")</f>
        <v>Thursday</v>
      </c>
      <c r="L799" s="23" t="s">
        <v>14</v>
      </c>
      <c r="M799" s="23">
        <f>ROUND('Call Data'!$I799,0)</f>
        <v>4</v>
      </c>
    </row>
    <row r="800" spans="1:13" ht="14.25" customHeight="1" x14ac:dyDescent="0.35">
      <c r="A800" s="23" t="s">
        <v>834</v>
      </c>
      <c r="B800" s="23" t="s">
        <v>23</v>
      </c>
      <c r="C800" s="23">
        <v>4</v>
      </c>
      <c r="D800" s="24" t="str" cm="1">
        <f t="array" ref="D800">_xlfn.IFS(CallData[[#This Row],[Duration]]&lt;=15,"Very short",CallData[[#This Row],[Duration]]&lt;=30,"Short",CallData[[#This Row],[Duration]]&lt;=60,"Medium",CallData[[#This Row],[Duration]]&gt;60,"Long")</f>
        <v>Very short</v>
      </c>
      <c r="E800" s="24" t="s">
        <v>13</v>
      </c>
      <c r="F800" s="25">
        <v>45204</v>
      </c>
      <c r="G800" s="26">
        <v>170</v>
      </c>
      <c r="H800" s="26" t="str" cm="1">
        <f t="array" ref="H800">_xlfn.IFS(CallData[[#This Row],[Purchase Amount]]&lt;=50,"Low",CallData[[#This Row],[Purchase Amount]]&lt;=100,"Medium",CallData[[#This Row],[Purchase Amount]]&lt;=150,"High",CallData[[#This Row],[Purchase Amount]]&gt;150,"Very High")</f>
        <v>Very High</v>
      </c>
      <c r="I800" s="23">
        <v>3.9</v>
      </c>
      <c r="J800" s="23">
        <f>IF(MONTH('Call Data'!$F800)&lt;=6, YEAR('Call Data'!$F800), YEAR('Call Data'!$F800)+1)</f>
        <v>2024</v>
      </c>
      <c r="K800" s="23" t="str">
        <f>TEXT('Call Data'!$F800,"DDDD")</f>
        <v>Thursday</v>
      </c>
      <c r="L800" s="23" t="s">
        <v>176</v>
      </c>
      <c r="M800" s="23">
        <f>ROUND('Call Data'!$I800,0)</f>
        <v>4</v>
      </c>
    </row>
    <row r="801" spans="1:13" ht="14.25" customHeight="1" x14ac:dyDescent="0.35">
      <c r="A801" s="23" t="s">
        <v>835</v>
      </c>
      <c r="B801" s="23" t="s">
        <v>68</v>
      </c>
      <c r="C801" s="23">
        <v>78</v>
      </c>
      <c r="D801" s="24" t="str" cm="1">
        <f t="array" ref="D801">_xlfn.IFS(CallData[[#This Row],[Duration]]&lt;=15,"Very short",CallData[[#This Row],[Duration]]&lt;=30,"Short",CallData[[#This Row],[Duration]]&lt;=60,"Medium",CallData[[#This Row],[Duration]]&gt;60,"Long")</f>
        <v>Long</v>
      </c>
      <c r="E801" s="24" t="s">
        <v>35</v>
      </c>
      <c r="F801" s="25">
        <v>45205</v>
      </c>
      <c r="G801" s="26">
        <v>74</v>
      </c>
      <c r="H801" s="26" t="str" cm="1">
        <f t="array" ref="H801">_xlfn.IFS(CallData[[#This Row],[Purchase Amount]]&lt;=50,"Low",CallData[[#This Row],[Purchase Amount]]&lt;=100,"Medium",CallData[[#This Row],[Purchase Amount]]&lt;=150,"High",CallData[[#This Row],[Purchase Amount]]&gt;150,"Very High")</f>
        <v>Medium</v>
      </c>
      <c r="I801" s="23">
        <v>3.5</v>
      </c>
      <c r="J801" s="23">
        <f>IF(MONTH('Call Data'!$F801)&lt;=6, YEAR('Call Data'!$F801), YEAR('Call Data'!$F801)+1)</f>
        <v>2024</v>
      </c>
      <c r="K801" s="23" t="str">
        <f>TEXT('Call Data'!$F801,"DDDD")</f>
        <v>Friday</v>
      </c>
      <c r="L801" s="23" t="s">
        <v>14</v>
      </c>
      <c r="M801" s="23">
        <f>ROUND('Call Data'!$I801,0)</f>
        <v>4</v>
      </c>
    </row>
    <row r="802" spans="1:13" ht="14.25" customHeight="1" x14ac:dyDescent="0.35">
      <c r="A802" s="23" t="s">
        <v>836</v>
      </c>
      <c r="B802" s="23" t="s">
        <v>50</v>
      </c>
      <c r="C802" s="23">
        <v>69</v>
      </c>
      <c r="D802" s="24" t="str" cm="1">
        <f t="array" ref="D802">_xlfn.IFS(CallData[[#This Row],[Duration]]&lt;=15,"Very short",CallData[[#This Row],[Duration]]&lt;=30,"Short",CallData[[#This Row],[Duration]]&lt;=60,"Medium",CallData[[#This Row],[Duration]]&gt;60,"Long")</f>
        <v>Long</v>
      </c>
      <c r="E802" s="24" t="s">
        <v>13</v>
      </c>
      <c r="F802" s="25">
        <v>45205</v>
      </c>
      <c r="G802" s="26">
        <v>99</v>
      </c>
      <c r="H802" s="26" t="str" cm="1">
        <f t="array" ref="H802">_xlfn.IFS(CallData[[#This Row],[Purchase Amount]]&lt;=50,"Low",CallData[[#This Row],[Purchase Amount]]&lt;=100,"Medium",CallData[[#This Row],[Purchase Amount]]&lt;=150,"High",CallData[[#This Row],[Purchase Amount]]&gt;150,"Very High")</f>
        <v>Medium</v>
      </c>
      <c r="I802" s="23">
        <v>2.7</v>
      </c>
      <c r="J802" s="23">
        <f>IF(MONTH('Call Data'!$F802)&lt;=6, YEAR('Call Data'!$F802), YEAR('Call Data'!$F802)+1)</f>
        <v>2024</v>
      </c>
      <c r="K802" s="23" t="str">
        <f>TEXT('Call Data'!$F802,"DDDD")</f>
        <v>Friday</v>
      </c>
      <c r="L802" s="23" t="s">
        <v>14</v>
      </c>
      <c r="M802" s="23">
        <f>ROUND('Call Data'!$I802,0)</f>
        <v>3</v>
      </c>
    </row>
    <row r="803" spans="1:13" ht="14.25" customHeight="1" x14ac:dyDescent="0.35">
      <c r="A803" s="23" t="s">
        <v>837</v>
      </c>
      <c r="B803" s="23" t="s">
        <v>29</v>
      </c>
      <c r="C803" s="23">
        <v>90</v>
      </c>
      <c r="D803" s="24" t="str" cm="1">
        <f t="array" ref="D803">_xlfn.IFS(CallData[[#This Row],[Duration]]&lt;=15,"Very short",CallData[[#This Row],[Duration]]&lt;=30,"Short",CallData[[#This Row],[Duration]]&lt;=60,"Medium",CallData[[#This Row],[Duration]]&gt;60,"Long")</f>
        <v>Long</v>
      </c>
      <c r="E803" s="24" t="s">
        <v>31</v>
      </c>
      <c r="F803" s="25">
        <v>45205</v>
      </c>
      <c r="G803" s="26">
        <v>84</v>
      </c>
      <c r="H803" s="26" t="str" cm="1">
        <f t="array" ref="H803">_xlfn.IFS(CallData[[#This Row],[Purchase Amount]]&lt;=50,"Low",CallData[[#This Row],[Purchase Amount]]&lt;=100,"Medium",CallData[[#This Row],[Purchase Amount]]&lt;=150,"High",CallData[[#This Row],[Purchase Amount]]&gt;150,"Very High")</f>
        <v>Medium</v>
      </c>
      <c r="I803" s="23">
        <v>3.9</v>
      </c>
      <c r="J803" s="23">
        <f>IF(MONTH('Call Data'!$F803)&lt;=6, YEAR('Call Data'!$F803), YEAR('Call Data'!$F803)+1)</f>
        <v>2024</v>
      </c>
      <c r="K803" s="23" t="str">
        <f>TEXT('Call Data'!$F803,"DDDD")</f>
        <v>Friday</v>
      </c>
      <c r="L803" s="23" t="s">
        <v>14</v>
      </c>
      <c r="M803" s="23">
        <f>ROUND('Call Data'!$I803,0)</f>
        <v>4</v>
      </c>
    </row>
    <row r="804" spans="1:13" ht="14.25" customHeight="1" x14ac:dyDescent="0.35">
      <c r="A804" s="23" t="s">
        <v>838</v>
      </c>
      <c r="B804" s="23" t="s">
        <v>50</v>
      </c>
      <c r="C804" s="23">
        <v>134</v>
      </c>
      <c r="D804" s="24" t="str" cm="1">
        <f t="array" ref="D804">_xlfn.IFS(CallData[[#This Row],[Duration]]&lt;=15,"Very short",CallData[[#This Row],[Duration]]&lt;=30,"Short",CallData[[#This Row],[Duration]]&lt;=60,"Medium",CallData[[#This Row],[Duration]]&gt;60,"Long")</f>
        <v>Long</v>
      </c>
      <c r="E804" s="24" t="s">
        <v>13</v>
      </c>
      <c r="F804" s="25">
        <v>45205</v>
      </c>
      <c r="G804" s="26">
        <v>35</v>
      </c>
      <c r="H804" s="26" t="str" cm="1">
        <f t="array" ref="H804">_xlfn.IFS(CallData[[#This Row],[Purchase Amount]]&lt;=50,"Low",CallData[[#This Row],[Purchase Amount]]&lt;=100,"Medium",CallData[[#This Row],[Purchase Amount]]&lt;=150,"High",CallData[[#This Row],[Purchase Amount]]&gt;150,"Very High")</f>
        <v>Low</v>
      </c>
      <c r="I804" s="23">
        <v>3.4</v>
      </c>
      <c r="J804" s="23">
        <f>IF(MONTH('Call Data'!$F804)&lt;=6, YEAR('Call Data'!$F804), YEAR('Call Data'!$F804)+1)</f>
        <v>2024</v>
      </c>
      <c r="K804" s="23" t="str">
        <f>TEXT('Call Data'!$F804,"DDDD")</f>
        <v>Friday</v>
      </c>
      <c r="L804" s="23" t="s">
        <v>25</v>
      </c>
      <c r="M804" s="23">
        <f>ROUND('Call Data'!$I804,0)</f>
        <v>3</v>
      </c>
    </row>
    <row r="805" spans="1:13" ht="14.25" customHeight="1" x14ac:dyDescent="0.35">
      <c r="A805" s="23" t="s">
        <v>839</v>
      </c>
      <c r="B805" s="23" t="s">
        <v>16</v>
      </c>
      <c r="C805" s="23">
        <v>65</v>
      </c>
      <c r="D805" s="24" t="str" cm="1">
        <f t="array" ref="D805">_xlfn.IFS(CallData[[#This Row],[Duration]]&lt;=15,"Very short",CallData[[#This Row],[Duration]]&lt;=30,"Short",CallData[[#This Row],[Duration]]&lt;=60,"Medium",CallData[[#This Row],[Duration]]&gt;60,"Long")</f>
        <v>Long</v>
      </c>
      <c r="E805" s="24" t="s">
        <v>24</v>
      </c>
      <c r="F805" s="25">
        <v>45205</v>
      </c>
      <c r="G805" s="26">
        <v>150</v>
      </c>
      <c r="H805" s="26" t="str" cm="1">
        <f t="array" ref="H805">_xlfn.IFS(CallData[[#This Row],[Purchase Amount]]&lt;=50,"Low",CallData[[#This Row],[Purchase Amount]]&lt;=100,"Medium",CallData[[#This Row],[Purchase Amount]]&lt;=150,"High",CallData[[#This Row],[Purchase Amount]]&gt;150,"Very High")</f>
        <v>High</v>
      </c>
      <c r="I805" s="23">
        <v>5</v>
      </c>
      <c r="J805" s="23">
        <f>IF(MONTH('Call Data'!$F805)&lt;=6, YEAR('Call Data'!$F805), YEAR('Call Data'!$F805)+1)</f>
        <v>2024</v>
      </c>
      <c r="K805" s="23" t="str">
        <f>TEXT('Call Data'!$F805,"DDDD")</f>
        <v>Friday</v>
      </c>
      <c r="L805" s="23" t="s">
        <v>14</v>
      </c>
      <c r="M805" s="23">
        <f>ROUND('Call Data'!$I805,0)</f>
        <v>5</v>
      </c>
    </row>
    <row r="806" spans="1:13" ht="14.25" customHeight="1" x14ac:dyDescent="0.35">
      <c r="A806" s="23" t="s">
        <v>840</v>
      </c>
      <c r="B806" s="23" t="s">
        <v>18</v>
      </c>
      <c r="C806" s="23">
        <v>54</v>
      </c>
      <c r="D806" s="24" t="str" cm="1">
        <f t="array" ref="D806">_xlfn.IFS(CallData[[#This Row],[Duration]]&lt;=15,"Very short",CallData[[#This Row],[Duration]]&lt;=30,"Short",CallData[[#This Row],[Duration]]&lt;=60,"Medium",CallData[[#This Row],[Duration]]&gt;60,"Long")</f>
        <v>Medium</v>
      </c>
      <c r="E806" s="24" t="s">
        <v>35</v>
      </c>
      <c r="F806" s="25">
        <v>45206</v>
      </c>
      <c r="G806" s="26">
        <v>176</v>
      </c>
      <c r="H806" s="26" t="str" cm="1">
        <f t="array" ref="H806">_xlfn.IFS(CallData[[#This Row],[Purchase Amount]]&lt;=50,"Low",CallData[[#This Row],[Purchase Amount]]&lt;=100,"Medium",CallData[[#This Row],[Purchase Amount]]&lt;=150,"High",CallData[[#This Row],[Purchase Amount]]&gt;150,"Very High")</f>
        <v>Very High</v>
      </c>
      <c r="I806" s="23">
        <v>4.4000000000000004</v>
      </c>
      <c r="J806" s="23">
        <f>IF(MONTH('Call Data'!$F806)&lt;=6, YEAR('Call Data'!$F806), YEAR('Call Data'!$F806)+1)</f>
        <v>2024</v>
      </c>
      <c r="K806" s="23" t="str">
        <f>TEXT('Call Data'!$F806,"DDDD")</f>
        <v>Saturday</v>
      </c>
      <c r="L806" s="23" t="s">
        <v>27</v>
      </c>
      <c r="M806" s="23">
        <f>ROUND('Call Data'!$I806,0)</f>
        <v>4</v>
      </c>
    </row>
    <row r="807" spans="1:13" ht="14.25" customHeight="1" x14ac:dyDescent="0.35">
      <c r="A807" s="23" t="s">
        <v>841</v>
      </c>
      <c r="B807" s="23" t="s">
        <v>18</v>
      </c>
      <c r="C807" s="23">
        <v>90</v>
      </c>
      <c r="D807" s="24" t="str" cm="1">
        <f t="array" ref="D807">_xlfn.IFS(CallData[[#This Row],[Duration]]&lt;=15,"Very short",CallData[[#This Row],[Duration]]&lt;=30,"Short",CallData[[#This Row],[Duration]]&lt;=60,"Medium",CallData[[#This Row],[Duration]]&gt;60,"Long")</f>
        <v>Long</v>
      </c>
      <c r="E807" s="24" t="s">
        <v>35</v>
      </c>
      <c r="F807" s="25">
        <v>45206</v>
      </c>
      <c r="G807" s="26">
        <v>84</v>
      </c>
      <c r="H807" s="26" t="str" cm="1">
        <f t="array" ref="H807">_xlfn.IFS(CallData[[#This Row],[Purchase Amount]]&lt;=50,"Low",CallData[[#This Row],[Purchase Amount]]&lt;=100,"Medium",CallData[[#This Row],[Purchase Amount]]&lt;=150,"High",CallData[[#This Row],[Purchase Amount]]&gt;150,"Very High")</f>
        <v>Medium</v>
      </c>
      <c r="I807" s="23">
        <v>4.3</v>
      </c>
      <c r="J807" s="23">
        <f>IF(MONTH('Call Data'!$F807)&lt;=6, YEAR('Call Data'!$F807), YEAR('Call Data'!$F807)+1)</f>
        <v>2024</v>
      </c>
      <c r="K807" s="23" t="str">
        <f>TEXT('Call Data'!$F807,"DDDD")</f>
        <v>Saturday</v>
      </c>
      <c r="L807" s="23" t="s">
        <v>14</v>
      </c>
      <c r="M807" s="23">
        <f>ROUND('Call Data'!$I807,0)</f>
        <v>4</v>
      </c>
    </row>
    <row r="808" spans="1:13" ht="14.25" customHeight="1" x14ac:dyDescent="0.35">
      <c r="A808" s="23" t="s">
        <v>842</v>
      </c>
      <c r="B808" s="23" t="s">
        <v>29</v>
      </c>
      <c r="C808" s="23">
        <v>66</v>
      </c>
      <c r="D808" s="24" t="str" cm="1">
        <f t="array" ref="D808">_xlfn.IFS(CallData[[#This Row],[Duration]]&lt;=15,"Very short",CallData[[#This Row],[Duration]]&lt;=30,"Short",CallData[[#This Row],[Duration]]&lt;=60,"Medium",CallData[[#This Row],[Duration]]&gt;60,"Long")</f>
        <v>Long</v>
      </c>
      <c r="E808" s="24" t="s">
        <v>35</v>
      </c>
      <c r="F808" s="25">
        <v>45206</v>
      </c>
      <c r="G808" s="26">
        <v>136</v>
      </c>
      <c r="H808" s="26" t="str" cm="1">
        <f t="array" ref="H808">_xlfn.IFS(CallData[[#This Row],[Purchase Amount]]&lt;=50,"Low",CallData[[#This Row],[Purchase Amount]]&lt;=100,"Medium",CallData[[#This Row],[Purchase Amount]]&lt;=150,"High",CallData[[#This Row],[Purchase Amount]]&gt;150,"Very High")</f>
        <v>High</v>
      </c>
      <c r="I808" s="23">
        <v>4.7</v>
      </c>
      <c r="J808" s="23">
        <f>IF(MONTH('Call Data'!$F808)&lt;=6, YEAR('Call Data'!$F808), YEAR('Call Data'!$F808)+1)</f>
        <v>2024</v>
      </c>
      <c r="K808" s="23" t="str">
        <f>TEXT('Call Data'!$F808,"DDDD")</f>
        <v>Saturday</v>
      </c>
      <c r="L808" s="23" t="s">
        <v>14</v>
      </c>
      <c r="M808" s="23">
        <f>ROUND('Call Data'!$I808,0)</f>
        <v>5</v>
      </c>
    </row>
    <row r="809" spans="1:13" ht="14.25" customHeight="1" x14ac:dyDescent="0.35">
      <c r="A809" s="23" t="s">
        <v>843</v>
      </c>
      <c r="B809" s="23" t="s">
        <v>23</v>
      </c>
      <c r="C809" s="23">
        <v>150</v>
      </c>
      <c r="D809" s="24" t="str" cm="1">
        <f t="array" ref="D809">_xlfn.IFS(CallData[[#This Row],[Duration]]&lt;=15,"Very short",CallData[[#This Row],[Duration]]&lt;=30,"Short",CallData[[#This Row],[Duration]]&lt;=60,"Medium",CallData[[#This Row],[Duration]]&gt;60,"Long")</f>
        <v>Long</v>
      </c>
      <c r="E809" s="24" t="s">
        <v>35</v>
      </c>
      <c r="F809" s="25">
        <v>45207</v>
      </c>
      <c r="G809" s="26">
        <v>70</v>
      </c>
      <c r="H809" s="26" t="str" cm="1">
        <f t="array" ref="H809">_xlfn.IFS(CallData[[#This Row],[Purchase Amount]]&lt;=50,"Low",CallData[[#This Row],[Purchase Amount]]&lt;=100,"Medium",CallData[[#This Row],[Purchase Amount]]&lt;=150,"High",CallData[[#This Row],[Purchase Amount]]&gt;150,"Very High")</f>
        <v>Medium</v>
      </c>
      <c r="I809" s="23">
        <v>4.0999999999999996</v>
      </c>
      <c r="J809" s="23">
        <f>IF(MONTH('Call Data'!$F809)&lt;=6, YEAR('Call Data'!$F809), YEAR('Call Data'!$F809)+1)</f>
        <v>2024</v>
      </c>
      <c r="K809" s="23" t="str">
        <f>TEXT('Call Data'!$F809,"DDDD")</f>
        <v>Sunday</v>
      </c>
      <c r="L809" s="23" t="s">
        <v>25</v>
      </c>
      <c r="M809" s="23">
        <f>ROUND('Call Data'!$I809,0)</f>
        <v>4</v>
      </c>
    </row>
    <row r="810" spans="1:13" ht="14.25" customHeight="1" x14ac:dyDescent="0.35">
      <c r="A810" s="23" t="s">
        <v>844</v>
      </c>
      <c r="B810" s="23" t="s">
        <v>40</v>
      </c>
      <c r="C810" s="23">
        <v>18</v>
      </c>
      <c r="D810" s="24" t="str" cm="1">
        <f t="array" ref="D810">_xlfn.IFS(CallData[[#This Row],[Duration]]&lt;=15,"Very short",CallData[[#This Row],[Duration]]&lt;=30,"Short",CallData[[#This Row],[Duration]]&lt;=60,"Medium",CallData[[#This Row],[Duration]]&gt;60,"Long")</f>
        <v>Short</v>
      </c>
      <c r="E810" s="24" t="s">
        <v>24</v>
      </c>
      <c r="F810" s="25">
        <v>45207</v>
      </c>
      <c r="G810" s="26">
        <v>96</v>
      </c>
      <c r="H810" s="26" t="str" cm="1">
        <f t="array" ref="H810">_xlfn.IFS(CallData[[#This Row],[Purchase Amount]]&lt;=50,"Low",CallData[[#This Row],[Purchase Amount]]&lt;=100,"Medium",CallData[[#This Row],[Purchase Amount]]&lt;=150,"High",CallData[[#This Row],[Purchase Amount]]&gt;150,"Very High")</f>
        <v>Medium</v>
      </c>
      <c r="I810" s="23">
        <v>4.8</v>
      </c>
      <c r="J810" s="23">
        <f>IF(MONTH('Call Data'!$F810)&lt;=6, YEAR('Call Data'!$F810), YEAR('Call Data'!$F810)+1)</f>
        <v>2024</v>
      </c>
      <c r="K810" s="23" t="str">
        <f>TEXT('Call Data'!$F810,"DDDD")</f>
        <v>Sunday</v>
      </c>
      <c r="L810" s="23" t="s">
        <v>47</v>
      </c>
      <c r="M810" s="23">
        <f>ROUND('Call Data'!$I810,0)</f>
        <v>5</v>
      </c>
    </row>
    <row r="811" spans="1:13" ht="14.25" customHeight="1" x14ac:dyDescent="0.35">
      <c r="A811" s="23" t="s">
        <v>845</v>
      </c>
      <c r="B811" s="23" t="s">
        <v>18</v>
      </c>
      <c r="C811" s="23">
        <v>87</v>
      </c>
      <c r="D811" s="24" t="str" cm="1">
        <f t="array" ref="D811">_xlfn.IFS(CallData[[#This Row],[Duration]]&lt;=15,"Very short",CallData[[#This Row],[Duration]]&lt;=30,"Short",CallData[[#This Row],[Duration]]&lt;=60,"Medium",CallData[[#This Row],[Duration]]&gt;60,"Long")</f>
        <v>Long</v>
      </c>
      <c r="E811" s="24" t="s">
        <v>24</v>
      </c>
      <c r="F811" s="25">
        <v>45207</v>
      </c>
      <c r="G811" s="26">
        <v>23</v>
      </c>
      <c r="H811" s="26" t="str" cm="1">
        <f t="array" ref="H811">_xlfn.IFS(CallData[[#This Row],[Purchase Amount]]&lt;=50,"Low",CallData[[#This Row],[Purchase Amount]]&lt;=100,"Medium",CallData[[#This Row],[Purchase Amount]]&lt;=150,"High",CallData[[#This Row],[Purchase Amount]]&gt;150,"Very High")</f>
        <v>Low</v>
      </c>
      <c r="I811" s="23">
        <v>4.2</v>
      </c>
      <c r="J811" s="23">
        <f>IF(MONTH('Call Data'!$F811)&lt;=6, YEAR('Call Data'!$F811), YEAR('Call Data'!$F811)+1)</f>
        <v>2024</v>
      </c>
      <c r="K811" s="23" t="str">
        <f>TEXT('Call Data'!$F811,"DDDD")</f>
        <v>Sunday</v>
      </c>
      <c r="L811" s="23" t="s">
        <v>14</v>
      </c>
      <c r="M811" s="23">
        <f>ROUND('Call Data'!$I811,0)</f>
        <v>4</v>
      </c>
    </row>
    <row r="812" spans="1:13" ht="14.25" customHeight="1" x14ac:dyDescent="0.35">
      <c r="A812" s="23" t="s">
        <v>846</v>
      </c>
      <c r="B812" s="23" t="s">
        <v>38</v>
      </c>
      <c r="C812" s="23">
        <v>94</v>
      </c>
      <c r="D812" s="24" t="str" cm="1">
        <f t="array" ref="D812">_xlfn.IFS(CallData[[#This Row],[Duration]]&lt;=15,"Very short",CallData[[#This Row],[Duration]]&lt;=30,"Short",CallData[[#This Row],[Duration]]&lt;=60,"Medium",CallData[[#This Row],[Duration]]&gt;60,"Long")</f>
        <v>Long</v>
      </c>
      <c r="E812" s="24" t="s">
        <v>35</v>
      </c>
      <c r="F812" s="25">
        <v>45208</v>
      </c>
      <c r="G812" s="26">
        <v>120</v>
      </c>
      <c r="H812" s="26" t="str" cm="1">
        <f t="array" ref="H812">_xlfn.IFS(CallData[[#This Row],[Purchase Amount]]&lt;=50,"Low",CallData[[#This Row],[Purchase Amount]]&lt;=100,"Medium",CallData[[#This Row],[Purchase Amount]]&lt;=150,"High",CallData[[#This Row],[Purchase Amount]]&gt;150,"Very High")</f>
        <v>High</v>
      </c>
      <c r="I812" s="23">
        <v>3.4</v>
      </c>
      <c r="J812" s="23">
        <f>IF(MONTH('Call Data'!$F812)&lt;=6, YEAR('Call Data'!$F812), YEAR('Call Data'!$F812)+1)</f>
        <v>2024</v>
      </c>
      <c r="K812" s="23" t="str">
        <f>TEXT('Call Data'!$F812,"DDDD")</f>
        <v>Monday</v>
      </c>
      <c r="L812" s="23" t="s">
        <v>14</v>
      </c>
      <c r="M812" s="23">
        <f>ROUND('Call Data'!$I812,0)</f>
        <v>3</v>
      </c>
    </row>
    <row r="813" spans="1:13" ht="14.25" customHeight="1" x14ac:dyDescent="0.35">
      <c r="A813" s="23" t="s">
        <v>847</v>
      </c>
      <c r="B813" s="23" t="s">
        <v>58</v>
      </c>
      <c r="C813" s="23">
        <v>56</v>
      </c>
      <c r="D813" s="24" t="str" cm="1">
        <f t="array" ref="D813">_xlfn.IFS(CallData[[#This Row],[Duration]]&lt;=15,"Very short",CallData[[#This Row],[Duration]]&lt;=30,"Short",CallData[[#This Row],[Duration]]&lt;=60,"Medium",CallData[[#This Row],[Duration]]&gt;60,"Long")</f>
        <v>Medium</v>
      </c>
      <c r="E813" s="24" t="s">
        <v>35</v>
      </c>
      <c r="F813" s="25">
        <v>45208</v>
      </c>
      <c r="G813" s="26">
        <v>205</v>
      </c>
      <c r="H813" s="26" t="str" cm="1">
        <f t="array" ref="H813">_xlfn.IFS(CallData[[#This Row],[Purchase Amount]]&lt;=50,"Low",CallData[[#This Row],[Purchase Amount]]&lt;=100,"Medium",CallData[[#This Row],[Purchase Amount]]&lt;=150,"High",CallData[[#This Row],[Purchase Amount]]&gt;150,"Very High")</f>
        <v>Very High</v>
      </c>
      <c r="I813" s="23">
        <v>3.3</v>
      </c>
      <c r="J813" s="23">
        <f>IF(MONTH('Call Data'!$F813)&lt;=6, YEAR('Call Data'!$F813), YEAR('Call Data'!$F813)+1)</f>
        <v>2024</v>
      </c>
      <c r="K813" s="23" t="str">
        <f>TEXT('Call Data'!$F813,"DDDD")</f>
        <v>Monday</v>
      </c>
      <c r="L813" s="23" t="s">
        <v>27</v>
      </c>
      <c r="M813" s="23">
        <f>ROUND('Call Data'!$I813,0)</f>
        <v>3</v>
      </c>
    </row>
    <row r="814" spans="1:13" ht="14.25" customHeight="1" x14ac:dyDescent="0.35">
      <c r="A814" s="23" t="s">
        <v>848</v>
      </c>
      <c r="B814" s="23" t="s">
        <v>46</v>
      </c>
      <c r="C814" s="23">
        <v>41</v>
      </c>
      <c r="D814" s="24" t="str" cm="1">
        <f t="array" ref="D814">_xlfn.IFS(CallData[[#This Row],[Duration]]&lt;=15,"Very short",CallData[[#This Row],[Duration]]&lt;=30,"Short",CallData[[#This Row],[Duration]]&lt;=60,"Medium",CallData[[#This Row],[Duration]]&gt;60,"Long")</f>
        <v>Medium</v>
      </c>
      <c r="E814" s="24" t="s">
        <v>19</v>
      </c>
      <c r="F814" s="25">
        <v>45209</v>
      </c>
      <c r="G814" s="26">
        <v>42</v>
      </c>
      <c r="H814" s="26" t="str" cm="1">
        <f t="array" ref="H814">_xlfn.IFS(CallData[[#This Row],[Purchase Amount]]&lt;=50,"Low",CallData[[#This Row],[Purchase Amount]]&lt;=100,"Medium",CallData[[#This Row],[Purchase Amount]]&lt;=150,"High",CallData[[#This Row],[Purchase Amount]]&gt;150,"Very High")</f>
        <v>Low</v>
      </c>
      <c r="I814" s="23">
        <v>3.8</v>
      </c>
      <c r="J814" s="23">
        <f>IF(MONTH('Call Data'!$F814)&lt;=6, YEAR('Call Data'!$F814), YEAR('Call Data'!$F814)+1)</f>
        <v>2024</v>
      </c>
      <c r="K814" s="23" t="str">
        <f>TEXT('Call Data'!$F814,"DDDD")</f>
        <v>Tuesday</v>
      </c>
      <c r="L814" s="23" t="s">
        <v>27</v>
      </c>
      <c r="M814" s="23">
        <f>ROUND('Call Data'!$I814,0)</f>
        <v>4</v>
      </c>
    </row>
    <row r="815" spans="1:13" ht="14.25" customHeight="1" x14ac:dyDescent="0.35">
      <c r="A815" s="23" t="s">
        <v>849</v>
      </c>
      <c r="B815" s="23" t="s">
        <v>23</v>
      </c>
      <c r="C815" s="23">
        <v>119</v>
      </c>
      <c r="D815" s="24" t="str" cm="1">
        <f t="array" ref="D815">_xlfn.IFS(CallData[[#This Row],[Duration]]&lt;=15,"Very short",CallData[[#This Row],[Duration]]&lt;=30,"Short",CallData[[#This Row],[Duration]]&lt;=60,"Medium",CallData[[#This Row],[Duration]]&gt;60,"Long")</f>
        <v>Long</v>
      </c>
      <c r="E815" s="24" t="s">
        <v>31</v>
      </c>
      <c r="F815" s="25">
        <v>45209</v>
      </c>
      <c r="G815" s="26">
        <v>111</v>
      </c>
      <c r="H815" s="26" t="str" cm="1">
        <f t="array" ref="H815">_xlfn.IFS(CallData[[#This Row],[Purchase Amount]]&lt;=50,"Low",CallData[[#This Row],[Purchase Amount]]&lt;=100,"Medium",CallData[[#This Row],[Purchase Amount]]&lt;=150,"High",CallData[[#This Row],[Purchase Amount]]&gt;150,"Very High")</f>
        <v>High</v>
      </c>
      <c r="I815" s="23">
        <v>3.9</v>
      </c>
      <c r="J815" s="23">
        <f>IF(MONTH('Call Data'!$F815)&lt;=6, YEAR('Call Data'!$F815), YEAR('Call Data'!$F815)+1)</f>
        <v>2024</v>
      </c>
      <c r="K815" s="23" t="str">
        <f>TEXT('Call Data'!$F815,"DDDD")</f>
        <v>Tuesday</v>
      </c>
      <c r="L815" s="23" t="s">
        <v>14</v>
      </c>
      <c r="M815" s="23">
        <f>ROUND('Call Data'!$I815,0)</f>
        <v>4</v>
      </c>
    </row>
    <row r="816" spans="1:13" ht="14.25" customHeight="1" x14ac:dyDescent="0.35">
      <c r="A816" s="23" t="s">
        <v>850</v>
      </c>
      <c r="B816" s="23" t="s">
        <v>21</v>
      </c>
      <c r="C816" s="23">
        <v>108</v>
      </c>
      <c r="D816" s="24" t="str" cm="1">
        <f t="array" ref="D816">_xlfn.IFS(CallData[[#This Row],[Duration]]&lt;=15,"Very short",CallData[[#This Row],[Duration]]&lt;=30,"Short",CallData[[#This Row],[Duration]]&lt;=60,"Medium",CallData[[#This Row],[Duration]]&gt;60,"Long")</f>
        <v>Long</v>
      </c>
      <c r="E816" s="24" t="s">
        <v>35</v>
      </c>
      <c r="F816" s="25">
        <v>45209</v>
      </c>
      <c r="G816" s="26">
        <v>68</v>
      </c>
      <c r="H816" s="26" t="str" cm="1">
        <f t="array" ref="H816">_xlfn.IFS(CallData[[#This Row],[Purchase Amount]]&lt;=50,"Low",CallData[[#This Row],[Purchase Amount]]&lt;=100,"Medium",CallData[[#This Row],[Purchase Amount]]&lt;=150,"High",CallData[[#This Row],[Purchase Amount]]&gt;150,"Very High")</f>
        <v>Medium</v>
      </c>
      <c r="I816" s="23">
        <v>2.5</v>
      </c>
      <c r="J816" s="23">
        <f>IF(MONTH('Call Data'!$F816)&lt;=6, YEAR('Call Data'!$F816), YEAR('Call Data'!$F816)+1)</f>
        <v>2024</v>
      </c>
      <c r="K816" s="23" t="str">
        <f>TEXT('Call Data'!$F816,"DDDD")</f>
        <v>Tuesday</v>
      </c>
      <c r="L816" s="23" t="s">
        <v>14</v>
      </c>
      <c r="M816" s="23">
        <f>ROUND('Call Data'!$I816,0)</f>
        <v>3</v>
      </c>
    </row>
    <row r="817" spans="1:13" ht="14.25" customHeight="1" x14ac:dyDescent="0.35">
      <c r="A817" s="23" t="s">
        <v>851</v>
      </c>
      <c r="B817" s="23" t="s">
        <v>68</v>
      </c>
      <c r="C817" s="23">
        <v>63</v>
      </c>
      <c r="D817" s="24" t="str" cm="1">
        <f t="array" ref="D817">_xlfn.IFS(CallData[[#This Row],[Duration]]&lt;=15,"Very short",CallData[[#This Row],[Duration]]&lt;=30,"Short",CallData[[#This Row],[Duration]]&lt;=60,"Medium",CallData[[#This Row],[Duration]]&gt;60,"Long")</f>
        <v>Long</v>
      </c>
      <c r="E817" s="24" t="s">
        <v>13</v>
      </c>
      <c r="F817" s="25">
        <v>45209</v>
      </c>
      <c r="G817" s="26">
        <v>172</v>
      </c>
      <c r="H817" s="26" t="str" cm="1">
        <f t="array" ref="H817">_xlfn.IFS(CallData[[#This Row],[Purchase Amount]]&lt;=50,"Low",CallData[[#This Row],[Purchase Amount]]&lt;=100,"Medium",CallData[[#This Row],[Purchase Amount]]&lt;=150,"High",CallData[[#This Row],[Purchase Amount]]&gt;150,"Very High")</f>
        <v>Very High</v>
      </c>
      <c r="I817" s="23">
        <v>4.9000000000000004</v>
      </c>
      <c r="J817" s="23">
        <f>IF(MONTH('Call Data'!$F817)&lt;=6, YEAR('Call Data'!$F817), YEAR('Call Data'!$F817)+1)</f>
        <v>2024</v>
      </c>
      <c r="K817" s="23" t="str">
        <f>TEXT('Call Data'!$F817,"DDDD")</f>
        <v>Tuesday</v>
      </c>
      <c r="L817" s="23" t="s">
        <v>14</v>
      </c>
      <c r="M817" s="23">
        <f>ROUND('Call Data'!$I817,0)</f>
        <v>5</v>
      </c>
    </row>
    <row r="818" spans="1:13" ht="14.25" customHeight="1" x14ac:dyDescent="0.35">
      <c r="A818" s="23" t="s">
        <v>852</v>
      </c>
      <c r="B818" s="23" t="s">
        <v>55</v>
      </c>
      <c r="C818" s="23">
        <v>59</v>
      </c>
      <c r="D818" s="24" t="str" cm="1">
        <f t="array" ref="D818">_xlfn.IFS(CallData[[#This Row],[Duration]]&lt;=15,"Very short",CallData[[#This Row],[Duration]]&lt;=30,"Short",CallData[[#This Row],[Duration]]&lt;=60,"Medium",CallData[[#This Row],[Duration]]&gt;60,"Long")</f>
        <v>Medium</v>
      </c>
      <c r="E818" s="24" t="s">
        <v>35</v>
      </c>
      <c r="F818" s="25">
        <v>45209</v>
      </c>
      <c r="G818" s="26">
        <v>152</v>
      </c>
      <c r="H818" s="26" t="str" cm="1">
        <f t="array" ref="H818">_xlfn.IFS(CallData[[#This Row],[Purchase Amount]]&lt;=50,"Low",CallData[[#This Row],[Purchase Amount]]&lt;=100,"Medium",CallData[[#This Row],[Purchase Amount]]&lt;=150,"High",CallData[[#This Row],[Purchase Amount]]&gt;150,"Very High")</f>
        <v>Very High</v>
      </c>
      <c r="I818" s="23">
        <v>4.8</v>
      </c>
      <c r="J818" s="23">
        <f>IF(MONTH('Call Data'!$F818)&lt;=6, YEAR('Call Data'!$F818), YEAR('Call Data'!$F818)+1)</f>
        <v>2024</v>
      </c>
      <c r="K818" s="23" t="str">
        <f>TEXT('Call Data'!$F818,"DDDD")</f>
        <v>Tuesday</v>
      </c>
      <c r="L818" s="23" t="s">
        <v>27</v>
      </c>
      <c r="M818" s="23">
        <f>ROUND('Call Data'!$I818,0)</f>
        <v>5</v>
      </c>
    </row>
    <row r="819" spans="1:13" ht="14.25" customHeight="1" x14ac:dyDescent="0.35">
      <c r="A819" s="23" t="s">
        <v>853</v>
      </c>
      <c r="B819" s="23" t="s">
        <v>55</v>
      </c>
      <c r="C819" s="23">
        <v>90</v>
      </c>
      <c r="D819" s="24" t="str" cm="1">
        <f t="array" ref="D819">_xlfn.IFS(CallData[[#This Row],[Duration]]&lt;=15,"Very short",CallData[[#This Row],[Duration]]&lt;=30,"Short",CallData[[#This Row],[Duration]]&lt;=60,"Medium",CallData[[#This Row],[Duration]]&gt;60,"Long")</f>
        <v>Long</v>
      </c>
      <c r="E819" s="24" t="s">
        <v>19</v>
      </c>
      <c r="F819" s="25">
        <v>45209</v>
      </c>
      <c r="G819" s="26">
        <v>48</v>
      </c>
      <c r="H819" s="26" t="str" cm="1">
        <f t="array" ref="H819">_xlfn.IFS(CallData[[#This Row],[Purchase Amount]]&lt;=50,"Low",CallData[[#This Row],[Purchase Amount]]&lt;=100,"Medium",CallData[[#This Row],[Purchase Amount]]&lt;=150,"High",CallData[[#This Row],[Purchase Amount]]&gt;150,"Very High")</f>
        <v>Low</v>
      </c>
      <c r="I819" s="23">
        <v>4.7</v>
      </c>
      <c r="J819" s="23">
        <f>IF(MONTH('Call Data'!$F819)&lt;=6, YEAR('Call Data'!$F819), YEAR('Call Data'!$F819)+1)</f>
        <v>2024</v>
      </c>
      <c r="K819" s="23" t="str">
        <f>TEXT('Call Data'!$F819,"DDDD")</f>
        <v>Tuesday</v>
      </c>
      <c r="L819" s="23" t="s">
        <v>14</v>
      </c>
      <c r="M819" s="23">
        <f>ROUND('Call Data'!$I819,0)</f>
        <v>5</v>
      </c>
    </row>
    <row r="820" spans="1:13" ht="14.25" customHeight="1" x14ac:dyDescent="0.35">
      <c r="A820" s="23" t="s">
        <v>854</v>
      </c>
      <c r="B820" s="23" t="s">
        <v>34</v>
      </c>
      <c r="C820" s="23">
        <v>55</v>
      </c>
      <c r="D820" s="24" t="str" cm="1">
        <f t="array" ref="D820">_xlfn.IFS(CallData[[#This Row],[Duration]]&lt;=15,"Very short",CallData[[#This Row],[Duration]]&lt;=30,"Short",CallData[[#This Row],[Duration]]&lt;=60,"Medium",CallData[[#This Row],[Duration]]&gt;60,"Long")</f>
        <v>Medium</v>
      </c>
      <c r="E820" s="24" t="s">
        <v>19</v>
      </c>
      <c r="F820" s="25">
        <v>45209</v>
      </c>
      <c r="G820" s="26">
        <v>25</v>
      </c>
      <c r="H820" s="26" t="str" cm="1">
        <f t="array" ref="H820">_xlfn.IFS(CallData[[#This Row],[Purchase Amount]]&lt;=50,"Low",CallData[[#This Row],[Purchase Amount]]&lt;=100,"Medium",CallData[[#This Row],[Purchase Amount]]&lt;=150,"High",CallData[[#This Row],[Purchase Amount]]&gt;150,"Very High")</f>
        <v>Low</v>
      </c>
      <c r="I820" s="23">
        <v>4.7</v>
      </c>
      <c r="J820" s="23">
        <f>IF(MONTH('Call Data'!$F820)&lt;=6, YEAR('Call Data'!$F820), YEAR('Call Data'!$F820)+1)</f>
        <v>2024</v>
      </c>
      <c r="K820" s="23" t="str">
        <f>TEXT('Call Data'!$F820,"DDDD")</f>
        <v>Tuesday</v>
      </c>
      <c r="L820" s="23" t="s">
        <v>27</v>
      </c>
      <c r="M820" s="23">
        <f>ROUND('Call Data'!$I820,0)</f>
        <v>5</v>
      </c>
    </row>
    <row r="821" spans="1:13" ht="14.25" customHeight="1" x14ac:dyDescent="0.35">
      <c r="A821" s="23" t="s">
        <v>855</v>
      </c>
      <c r="B821" s="23" t="s">
        <v>21</v>
      </c>
      <c r="C821" s="23">
        <v>84</v>
      </c>
      <c r="D821" s="24" t="str" cm="1">
        <f t="array" ref="D821">_xlfn.IFS(CallData[[#This Row],[Duration]]&lt;=15,"Very short",CallData[[#This Row],[Duration]]&lt;=30,"Short",CallData[[#This Row],[Duration]]&lt;=60,"Medium",CallData[[#This Row],[Duration]]&gt;60,"Long")</f>
        <v>Long</v>
      </c>
      <c r="E821" s="24" t="s">
        <v>31</v>
      </c>
      <c r="F821" s="25">
        <v>45210</v>
      </c>
      <c r="G821" s="26">
        <v>54</v>
      </c>
      <c r="H821" s="26" t="str" cm="1">
        <f t="array" ref="H821">_xlfn.IFS(CallData[[#This Row],[Purchase Amount]]&lt;=50,"Low",CallData[[#This Row],[Purchase Amount]]&lt;=100,"Medium",CallData[[#This Row],[Purchase Amount]]&lt;=150,"High",CallData[[#This Row],[Purchase Amount]]&gt;150,"Very High")</f>
        <v>Medium</v>
      </c>
      <c r="I821" s="23">
        <v>3.3</v>
      </c>
      <c r="J821" s="23">
        <f>IF(MONTH('Call Data'!$F821)&lt;=6, YEAR('Call Data'!$F821), YEAR('Call Data'!$F821)+1)</f>
        <v>2024</v>
      </c>
      <c r="K821" s="23" t="str">
        <f>TEXT('Call Data'!$F821,"DDDD")</f>
        <v>Wednesday</v>
      </c>
      <c r="L821" s="23" t="s">
        <v>14</v>
      </c>
      <c r="M821" s="23">
        <f>ROUND('Call Data'!$I821,0)</f>
        <v>3</v>
      </c>
    </row>
    <row r="822" spans="1:13" ht="14.25" customHeight="1" x14ac:dyDescent="0.35">
      <c r="A822" s="23" t="s">
        <v>856</v>
      </c>
      <c r="B822" s="23" t="s">
        <v>21</v>
      </c>
      <c r="C822" s="23">
        <v>150</v>
      </c>
      <c r="D822" s="24" t="str" cm="1">
        <f t="array" ref="D822">_xlfn.IFS(CallData[[#This Row],[Duration]]&lt;=15,"Very short",CallData[[#This Row],[Duration]]&lt;=30,"Short",CallData[[#This Row],[Duration]]&lt;=60,"Medium",CallData[[#This Row],[Duration]]&gt;60,"Long")</f>
        <v>Long</v>
      </c>
      <c r="E822" s="24" t="s">
        <v>24</v>
      </c>
      <c r="F822" s="25">
        <v>45210</v>
      </c>
      <c r="G822" s="26">
        <v>108</v>
      </c>
      <c r="H822" s="26" t="str" cm="1">
        <f t="array" ref="H822">_xlfn.IFS(CallData[[#This Row],[Purchase Amount]]&lt;=50,"Low",CallData[[#This Row],[Purchase Amount]]&lt;=100,"Medium",CallData[[#This Row],[Purchase Amount]]&lt;=150,"High",CallData[[#This Row],[Purchase Amount]]&gt;150,"Very High")</f>
        <v>High</v>
      </c>
      <c r="I822" s="23">
        <v>4.7</v>
      </c>
      <c r="J822" s="23">
        <f>IF(MONTH('Call Data'!$F822)&lt;=6, YEAR('Call Data'!$F822), YEAR('Call Data'!$F822)+1)</f>
        <v>2024</v>
      </c>
      <c r="K822" s="23" t="str">
        <f>TEXT('Call Data'!$F822,"DDDD")</f>
        <v>Wednesday</v>
      </c>
      <c r="L822" s="23" t="s">
        <v>25</v>
      </c>
      <c r="M822" s="23">
        <f>ROUND('Call Data'!$I822,0)</f>
        <v>5</v>
      </c>
    </row>
    <row r="823" spans="1:13" ht="14.25" customHeight="1" x14ac:dyDescent="0.35">
      <c r="A823" s="23" t="s">
        <v>857</v>
      </c>
      <c r="B823" s="23" t="s">
        <v>88</v>
      </c>
      <c r="C823" s="23">
        <v>69</v>
      </c>
      <c r="D823" s="24" t="str" cm="1">
        <f t="array" ref="D823">_xlfn.IFS(CallData[[#This Row],[Duration]]&lt;=15,"Very short",CallData[[#This Row],[Duration]]&lt;=30,"Short",CallData[[#This Row],[Duration]]&lt;=60,"Medium",CallData[[#This Row],[Duration]]&gt;60,"Long")</f>
        <v>Long</v>
      </c>
      <c r="E823" s="24" t="s">
        <v>35</v>
      </c>
      <c r="F823" s="25">
        <v>45210</v>
      </c>
      <c r="G823" s="26">
        <v>36</v>
      </c>
      <c r="H823" s="26" t="str" cm="1">
        <f t="array" ref="H823">_xlfn.IFS(CallData[[#This Row],[Purchase Amount]]&lt;=50,"Low",CallData[[#This Row],[Purchase Amount]]&lt;=100,"Medium",CallData[[#This Row],[Purchase Amount]]&lt;=150,"High",CallData[[#This Row],[Purchase Amount]]&gt;150,"Very High")</f>
        <v>Low</v>
      </c>
      <c r="I823" s="23">
        <v>4.5</v>
      </c>
      <c r="J823" s="23">
        <f>IF(MONTH('Call Data'!$F823)&lt;=6, YEAR('Call Data'!$F823), YEAR('Call Data'!$F823)+1)</f>
        <v>2024</v>
      </c>
      <c r="K823" s="23" t="str">
        <f>TEXT('Call Data'!$F823,"DDDD")</f>
        <v>Wednesday</v>
      </c>
      <c r="L823" s="23" t="s">
        <v>14</v>
      </c>
      <c r="M823" s="23">
        <f>ROUND('Call Data'!$I823,0)</f>
        <v>5</v>
      </c>
    </row>
    <row r="824" spans="1:13" ht="14.25" customHeight="1" x14ac:dyDescent="0.35">
      <c r="A824" s="23" t="s">
        <v>858</v>
      </c>
      <c r="B824" s="23" t="s">
        <v>12</v>
      </c>
      <c r="C824" s="23">
        <v>120</v>
      </c>
      <c r="D824" s="24" t="str" cm="1">
        <f t="array" ref="D824">_xlfn.IFS(CallData[[#This Row],[Duration]]&lt;=15,"Very short",CallData[[#This Row],[Duration]]&lt;=30,"Short",CallData[[#This Row],[Duration]]&lt;=60,"Medium",CallData[[#This Row],[Duration]]&gt;60,"Long")</f>
        <v>Long</v>
      </c>
      <c r="E824" s="24" t="s">
        <v>19</v>
      </c>
      <c r="F824" s="25">
        <v>45211</v>
      </c>
      <c r="G824" s="26">
        <v>140</v>
      </c>
      <c r="H824" s="26" t="str" cm="1">
        <f t="array" ref="H824">_xlfn.IFS(CallData[[#This Row],[Purchase Amount]]&lt;=50,"Low",CallData[[#This Row],[Purchase Amount]]&lt;=100,"Medium",CallData[[#This Row],[Purchase Amount]]&lt;=150,"High",CallData[[#This Row],[Purchase Amount]]&gt;150,"Very High")</f>
        <v>High</v>
      </c>
      <c r="I824" s="23">
        <v>4.5999999999999996</v>
      </c>
      <c r="J824" s="23">
        <f>IF(MONTH('Call Data'!$F824)&lt;=6, YEAR('Call Data'!$F824), YEAR('Call Data'!$F824)+1)</f>
        <v>2024</v>
      </c>
      <c r="K824" s="23" t="str">
        <f>TEXT('Call Data'!$F824,"DDDD")</f>
        <v>Thursday</v>
      </c>
      <c r="L824" s="23" t="s">
        <v>14</v>
      </c>
      <c r="M824" s="23">
        <f>ROUND('Call Data'!$I824,0)</f>
        <v>5</v>
      </c>
    </row>
    <row r="825" spans="1:13" ht="14.25" customHeight="1" x14ac:dyDescent="0.35">
      <c r="A825" s="23" t="s">
        <v>859</v>
      </c>
      <c r="B825" s="23" t="s">
        <v>18</v>
      </c>
      <c r="C825" s="23">
        <v>126</v>
      </c>
      <c r="D825" s="24" t="str" cm="1">
        <f t="array" ref="D825">_xlfn.IFS(CallData[[#This Row],[Duration]]&lt;=15,"Very short",CallData[[#This Row],[Duration]]&lt;=30,"Short",CallData[[#This Row],[Duration]]&lt;=60,"Medium",CallData[[#This Row],[Duration]]&gt;60,"Long")</f>
        <v>Long</v>
      </c>
      <c r="E825" s="24" t="s">
        <v>31</v>
      </c>
      <c r="F825" s="25">
        <v>45211</v>
      </c>
      <c r="G825" s="26">
        <v>50</v>
      </c>
      <c r="H825" s="26" t="str" cm="1">
        <f t="array" ref="H825">_xlfn.IFS(CallData[[#This Row],[Purchase Amount]]&lt;=50,"Low",CallData[[#This Row],[Purchase Amount]]&lt;=100,"Medium",CallData[[#This Row],[Purchase Amount]]&lt;=150,"High",CallData[[#This Row],[Purchase Amount]]&gt;150,"Very High")</f>
        <v>Low</v>
      </c>
      <c r="I825" s="23">
        <v>4.8</v>
      </c>
      <c r="J825" s="23">
        <f>IF(MONTH('Call Data'!$F825)&lt;=6, YEAR('Call Data'!$F825), YEAR('Call Data'!$F825)+1)</f>
        <v>2024</v>
      </c>
      <c r="K825" s="23" t="str">
        <f>TEXT('Call Data'!$F825,"DDDD")</f>
        <v>Thursday</v>
      </c>
      <c r="L825" s="23" t="s">
        <v>25</v>
      </c>
      <c r="M825" s="23">
        <f>ROUND('Call Data'!$I825,0)</f>
        <v>5</v>
      </c>
    </row>
    <row r="826" spans="1:13" ht="14.25" customHeight="1" x14ac:dyDescent="0.35">
      <c r="A826" s="23" t="s">
        <v>860</v>
      </c>
      <c r="B826" s="23" t="s">
        <v>88</v>
      </c>
      <c r="C826" s="23">
        <v>120</v>
      </c>
      <c r="D826" s="24" t="str" cm="1">
        <f t="array" ref="D826">_xlfn.IFS(CallData[[#This Row],[Duration]]&lt;=15,"Very short",CallData[[#This Row],[Duration]]&lt;=30,"Short",CallData[[#This Row],[Duration]]&lt;=60,"Medium",CallData[[#This Row],[Duration]]&gt;60,"Long")</f>
        <v>Long</v>
      </c>
      <c r="E826" s="24" t="s">
        <v>13</v>
      </c>
      <c r="F826" s="25">
        <v>45211</v>
      </c>
      <c r="G826" s="26">
        <v>195</v>
      </c>
      <c r="H826" s="26" t="str" cm="1">
        <f t="array" ref="H826">_xlfn.IFS(CallData[[#This Row],[Purchase Amount]]&lt;=50,"Low",CallData[[#This Row],[Purchase Amount]]&lt;=100,"Medium",CallData[[#This Row],[Purchase Amount]]&lt;=150,"High",CallData[[#This Row],[Purchase Amount]]&gt;150,"Very High")</f>
        <v>Very High</v>
      </c>
      <c r="I826" s="23">
        <v>4.3</v>
      </c>
      <c r="J826" s="23">
        <f>IF(MONTH('Call Data'!$F826)&lt;=6, YEAR('Call Data'!$F826), YEAR('Call Data'!$F826)+1)</f>
        <v>2024</v>
      </c>
      <c r="K826" s="23" t="str">
        <f>TEXT('Call Data'!$F826,"DDDD")</f>
        <v>Thursday</v>
      </c>
      <c r="L826" s="23" t="s">
        <v>14</v>
      </c>
      <c r="M826" s="23">
        <f>ROUND('Call Data'!$I826,0)</f>
        <v>4</v>
      </c>
    </row>
    <row r="827" spans="1:13" ht="14.25" customHeight="1" x14ac:dyDescent="0.35">
      <c r="A827" s="23" t="s">
        <v>861</v>
      </c>
      <c r="B827" s="23" t="s">
        <v>18</v>
      </c>
      <c r="C827" s="23">
        <v>139</v>
      </c>
      <c r="D827" s="24" t="str" cm="1">
        <f t="array" ref="D827">_xlfn.IFS(CallData[[#This Row],[Duration]]&lt;=15,"Very short",CallData[[#This Row],[Duration]]&lt;=30,"Short",CallData[[#This Row],[Duration]]&lt;=60,"Medium",CallData[[#This Row],[Duration]]&gt;60,"Long")</f>
        <v>Long</v>
      </c>
      <c r="E827" s="24" t="s">
        <v>19</v>
      </c>
      <c r="F827" s="25">
        <v>45212</v>
      </c>
      <c r="G827" s="26">
        <v>48</v>
      </c>
      <c r="H827" s="26" t="str" cm="1">
        <f t="array" ref="H827">_xlfn.IFS(CallData[[#This Row],[Purchase Amount]]&lt;=50,"Low",CallData[[#This Row],[Purchase Amount]]&lt;=100,"Medium",CallData[[#This Row],[Purchase Amount]]&lt;=150,"High",CallData[[#This Row],[Purchase Amount]]&gt;150,"Very High")</f>
        <v>Low</v>
      </c>
      <c r="I827" s="23">
        <v>4.7</v>
      </c>
      <c r="J827" s="23">
        <f>IF(MONTH('Call Data'!$F827)&lt;=6, YEAR('Call Data'!$F827), YEAR('Call Data'!$F827)+1)</f>
        <v>2024</v>
      </c>
      <c r="K827" s="23" t="str">
        <f>TEXT('Call Data'!$F827,"DDDD")</f>
        <v>Friday</v>
      </c>
      <c r="L827" s="23" t="s">
        <v>25</v>
      </c>
      <c r="M827" s="23">
        <f>ROUND('Call Data'!$I827,0)</f>
        <v>5</v>
      </c>
    </row>
    <row r="828" spans="1:13" ht="14.25" customHeight="1" x14ac:dyDescent="0.35">
      <c r="A828" s="23" t="s">
        <v>862</v>
      </c>
      <c r="B828" s="23" t="s">
        <v>34</v>
      </c>
      <c r="C828" s="23">
        <v>124</v>
      </c>
      <c r="D828" s="24" t="str" cm="1">
        <f t="array" ref="D828">_xlfn.IFS(CallData[[#This Row],[Duration]]&lt;=15,"Very short",CallData[[#This Row],[Duration]]&lt;=30,"Short",CallData[[#This Row],[Duration]]&lt;=60,"Medium",CallData[[#This Row],[Duration]]&gt;60,"Long")</f>
        <v>Long</v>
      </c>
      <c r="E828" s="24" t="s">
        <v>35</v>
      </c>
      <c r="F828" s="25">
        <v>45213</v>
      </c>
      <c r="G828" s="26">
        <v>29</v>
      </c>
      <c r="H828" s="26" t="str" cm="1">
        <f t="array" ref="H828">_xlfn.IFS(CallData[[#This Row],[Purchase Amount]]&lt;=50,"Low",CallData[[#This Row],[Purchase Amount]]&lt;=100,"Medium",CallData[[#This Row],[Purchase Amount]]&lt;=150,"High",CallData[[#This Row],[Purchase Amount]]&gt;150,"Very High")</f>
        <v>Low</v>
      </c>
      <c r="I828" s="23">
        <v>4.8</v>
      </c>
      <c r="J828" s="23">
        <f>IF(MONTH('Call Data'!$F828)&lt;=6, YEAR('Call Data'!$F828), YEAR('Call Data'!$F828)+1)</f>
        <v>2024</v>
      </c>
      <c r="K828" s="23" t="str">
        <f>TEXT('Call Data'!$F828,"DDDD")</f>
        <v>Saturday</v>
      </c>
      <c r="L828" s="23" t="s">
        <v>25</v>
      </c>
      <c r="M828" s="23">
        <f>ROUND('Call Data'!$I828,0)</f>
        <v>5</v>
      </c>
    </row>
    <row r="829" spans="1:13" ht="14.25" customHeight="1" x14ac:dyDescent="0.35">
      <c r="A829" s="23" t="s">
        <v>863</v>
      </c>
      <c r="B829" s="23" t="s">
        <v>12</v>
      </c>
      <c r="C829" s="23">
        <v>108</v>
      </c>
      <c r="D829" s="24" t="str" cm="1">
        <f t="array" ref="D829">_xlfn.IFS(CallData[[#This Row],[Duration]]&lt;=15,"Very short",CallData[[#This Row],[Duration]]&lt;=30,"Short",CallData[[#This Row],[Duration]]&lt;=60,"Medium",CallData[[#This Row],[Duration]]&gt;60,"Long")</f>
        <v>Long</v>
      </c>
      <c r="E829" s="24" t="s">
        <v>13</v>
      </c>
      <c r="F829" s="25">
        <v>45213</v>
      </c>
      <c r="G829" s="26">
        <v>44</v>
      </c>
      <c r="H829" s="26" t="str" cm="1">
        <f t="array" ref="H829">_xlfn.IFS(CallData[[#This Row],[Purchase Amount]]&lt;=50,"Low",CallData[[#This Row],[Purchase Amount]]&lt;=100,"Medium",CallData[[#This Row],[Purchase Amount]]&lt;=150,"High",CallData[[#This Row],[Purchase Amount]]&gt;150,"Very High")</f>
        <v>Low</v>
      </c>
      <c r="I829" s="23">
        <v>4.7</v>
      </c>
      <c r="J829" s="23">
        <f>IF(MONTH('Call Data'!$F829)&lt;=6, YEAR('Call Data'!$F829), YEAR('Call Data'!$F829)+1)</f>
        <v>2024</v>
      </c>
      <c r="K829" s="23" t="str">
        <f>TEXT('Call Data'!$F829,"DDDD")</f>
        <v>Saturday</v>
      </c>
      <c r="L829" s="23" t="s">
        <v>14</v>
      </c>
      <c r="M829" s="23">
        <f>ROUND('Call Data'!$I829,0)</f>
        <v>5</v>
      </c>
    </row>
    <row r="830" spans="1:13" ht="14.25" customHeight="1" x14ac:dyDescent="0.35">
      <c r="A830" s="23" t="s">
        <v>864</v>
      </c>
      <c r="B830" s="23" t="s">
        <v>16</v>
      </c>
      <c r="C830" s="23">
        <v>132</v>
      </c>
      <c r="D830" s="24" t="str" cm="1">
        <f t="array" ref="D830">_xlfn.IFS(CallData[[#This Row],[Duration]]&lt;=15,"Very short",CallData[[#This Row],[Duration]]&lt;=30,"Short",CallData[[#This Row],[Duration]]&lt;=60,"Medium",CallData[[#This Row],[Duration]]&gt;60,"Long")</f>
        <v>Long</v>
      </c>
      <c r="E830" s="24" t="s">
        <v>24</v>
      </c>
      <c r="F830" s="25">
        <v>45213</v>
      </c>
      <c r="G830" s="26">
        <v>140</v>
      </c>
      <c r="H830" s="26" t="str" cm="1">
        <f t="array" ref="H830">_xlfn.IFS(CallData[[#This Row],[Purchase Amount]]&lt;=50,"Low",CallData[[#This Row],[Purchase Amount]]&lt;=100,"Medium",CallData[[#This Row],[Purchase Amount]]&lt;=150,"High",CallData[[#This Row],[Purchase Amount]]&gt;150,"Very High")</f>
        <v>High</v>
      </c>
      <c r="I830" s="23">
        <v>4.3</v>
      </c>
      <c r="J830" s="23">
        <f>IF(MONTH('Call Data'!$F830)&lt;=6, YEAR('Call Data'!$F830), YEAR('Call Data'!$F830)+1)</f>
        <v>2024</v>
      </c>
      <c r="K830" s="23" t="str">
        <f>TEXT('Call Data'!$F830,"DDDD")</f>
        <v>Saturday</v>
      </c>
      <c r="L830" s="23" t="s">
        <v>25</v>
      </c>
      <c r="M830" s="23">
        <f>ROUND('Call Data'!$I830,0)</f>
        <v>4</v>
      </c>
    </row>
    <row r="831" spans="1:13" ht="14.25" customHeight="1" x14ac:dyDescent="0.35">
      <c r="A831" s="23" t="s">
        <v>865</v>
      </c>
      <c r="B831" s="23" t="s">
        <v>68</v>
      </c>
      <c r="C831" s="23">
        <v>67</v>
      </c>
      <c r="D831" s="24" t="str" cm="1">
        <f t="array" ref="D831">_xlfn.IFS(CallData[[#This Row],[Duration]]&lt;=15,"Very short",CallData[[#This Row],[Duration]]&lt;=30,"Short",CallData[[#This Row],[Duration]]&lt;=60,"Medium",CallData[[#This Row],[Duration]]&gt;60,"Long")</f>
        <v>Long</v>
      </c>
      <c r="E831" s="24" t="s">
        <v>24</v>
      </c>
      <c r="F831" s="25">
        <v>45213</v>
      </c>
      <c r="G831" s="26">
        <v>105</v>
      </c>
      <c r="H831" s="26" t="str" cm="1">
        <f t="array" ref="H831">_xlfn.IFS(CallData[[#This Row],[Purchase Amount]]&lt;=50,"Low",CallData[[#This Row],[Purchase Amount]]&lt;=100,"Medium",CallData[[#This Row],[Purchase Amount]]&lt;=150,"High",CallData[[#This Row],[Purchase Amount]]&gt;150,"Very High")</f>
        <v>High</v>
      </c>
      <c r="I831" s="23">
        <v>3.8</v>
      </c>
      <c r="J831" s="23">
        <f>IF(MONTH('Call Data'!$F831)&lt;=6, YEAR('Call Data'!$F831), YEAR('Call Data'!$F831)+1)</f>
        <v>2024</v>
      </c>
      <c r="K831" s="23" t="str">
        <f>TEXT('Call Data'!$F831,"DDDD")</f>
        <v>Saturday</v>
      </c>
      <c r="L831" s="23" t="s">
        <v>14</v>
      </c>
      <c r="M831" s="23">
        <f>ROUND('Call Data'!$I831,0)</f>
        <v>4</v>
      </c>
    </row>
    <row r="832" spans="1:13" ht="14.25" customHeight="1" x14ac:dyDescent="0.35">
      <c r="A832" s="23" t="s">
        <v>866</v>
      </c>
      <c r="B832" s="23" t="s">
        <v>29</v>
      </c>
      <c r="C832" s="23">
        <v>125</v>
      </c>
      <c r="D832" s="24" t="str" cm="1">
        <f t="array" ref="D832">_xlfn.IFS(CallData[[#This Row],[Duration]]&lt;=15,"Very short",CallData[[#This Row],[Duration]]&lt;=30,"Short",CallData[[#This Row],[Duration]]&lt;=60,"Medium",CallData[[#This Row],[Duration]]&gt;60,"Long")</f>
        <v>Long</v>
      </c>
      <c r="E832" s="24" t="s">
        <v>24</v>
      </c>
      <c r="F832" s="25">
        <v>45213</v>
      </c>
      <c r="G832" s="26">
        <v>82</v>
      </c>
      <c r="H832" s="26" t="str" cm="1">
        <f t="array" ref="H832">_xlfn.IFS(CallData[[#This Row],[Purchase Amount]]&lt;=50,"Low",CallData[[#This Row],[Purchase Amount]]&lt;=100,"Medium",CallData[[#This Row],[Purchase Amount]]&lt;=150,"High",CallData[[#This Row],[Purchase Amount]]&gt;150,"Very High")</f>
        <v>Medium</v>
      </c>
      <c r="I832" s="23">
        <v>4.5999999999999996</v>
      </c>
      <c r="J832" s="23">
        <f>IF(MONTH('Call Data'!$F832)&lt;=6, YEAR('Call Data'!$F832), YEAR('Call Data'!$F832)+1)</f>
        <v>2024</v>
      </c>
      <c r="K832" s="23" t="str">
        <f>TEXT('Call Data'!$F832,"DDDD")</f>
        <v>Saturday</v>
      </c>
      <c r="L832" s="23" t="s">
        <v>25</v>
      </c>
      <c r="M832" s="23">
        <f>ROUND('Call Data'!$I832,0)</f>
        <v>5</v>
      </c>
    </row>
    <row r="833" spans="1:13" ht="14.25" customHeight="1" x14ac:dyDescent="0.35">
      <c r="A833" s="23" t="s">
        <v>867</v>
      </c>
      <c r="B833" s="23" t="s">
        <v>12</v>
      </c>
      <c r="C833" s="23">
        <v>23</v>
      </c>
      <c r="D833" s="24" t="str" cm="1">
        <f t="array" ref="D833">_xlfn.IFS(CallData[[#This Row],[Duration]]&lt;=15,"Very short",CallData[[#This Row],[Duration]]&lt;=30,"Short",CallData[[#This Row],[Duration]]&lt;=60,"Medium",CallData[[#This Row],[Duration]]&gt;60,"Long")</f>
        <v>Short</v>
      </c>
      <c r="E833" s="24" t="s">
        <v>13</v>
      </c>
      <c r="F833" s="25">
        <v>45213</v>
      </c>
      <c r="G833" s="26">
        <v>24</v>
      </c>
      <c r="H833" s="26" t="str" cm="1">
        <f t="array" ref="H833">_xlfn.IFS(CallData[[#This Row],[Purchase Amount]]&lt;=50,"Low",CallData[[#This Row],[Purchase Amount]]&lt;=100,"Medium",CallData[[#This Row],[Purchase Amount]]&lt;=150,"High",CallData[[#This Row],[Purchase Amount]]&gt;150,"Very High")</f>
        <v>Low</v>
      </c>
      <c r="I833" s="23">
        <v>2.9</v>
      </c>
      <c r="J833" s="23">
        <f>IF(MONTH('Call Data'!$F833)&lt;=6, YEAR('Call Data'!$F833), YEAR('Call Data'!$F833)+1)</f>
        <v>2024</v>
      </c>
      <c r="K833" s="23" t="str">
        <f>TEXT('Call Data'!$F833,"DDDD")</f>
        <v>Saturday</v>
      </c>
      <c r="L833" s="23" t="s">
        <v>47</v>
      </c>
      <c r="M833" s="23">
        <f>ROUND('Call Data'!$I833,0)</f>
        <v>3</v>
      </c>
    </row>
    <row r="834" spans="1:13" ht="14.25" customHeight="1" x14ac:dyDescent="0.35">
      <c r="A834" s="23" t="s">
        <v>868</v>
      </c>
      <c r="B834" s="23" t="s">
        <v>23</v>
      </c>
      <c r="C834" s="23">
        <v>131</v>
      </c>
      <c r="D834" s="24" t="str" cm="1">
        <f t="array" ref="D834">_xlfn.IFS(CallData[[#This Row],[Duration]]&lt;=15,"Very short",CallData[[#This Row],[Duration]]&lt;=30,"Short",CallData[[#This Row],[Duration]]&lt;=60,"Medium",CallData[[#This Row],[Duration]]&gt;60,"Long")</f>
        <v>Long</v>
      </c>
      <c r="E834" s="24" t="s">
        <v>35</v>
      </c>
      <c r="F834" s="25">
        <v>45214</v>
      </c>
      <c r="G834" s="26">
        <v>205</v>
      </c>
      <c r="H834" s="26" t="str" cm="1">
        <f t="array" ref="H834">_xlfn.IFS(CallData[[#This Row],[Purchase Amount]]&lt;=50,"Low",CallData[[#This Row],[Purchase Amount]]&lt;=100,"Medium",CallData[[#This Row],[Purchase Amount]]&lt;=150,"High",CallData[[#This Row],[Purchase Amount]]&gt;150,"Very High")</f>
        <v>Very High</v>
      </c>
      <c r="I834" s="23">
        <v>4.8</v>
      </c>
      <c r="J834" s="23">
        <f>IF(MONTH('Call Data'!$F834)&lt;=6, YEAR('Call Data'!$F834), YEAR('Call Data'!$F834)+1)</f>
        <v>2024</v>
      </c>
      <c r="K834" s="23" t="str">
        <f>TEXT('Call Data'!$F834,"DDDD")</f>
        <v>Sunday</v>
      </c>
      <c r="L834" s="23" t="s">
        <v>25</v>
      </c>
      <c r="M834" s="23">
        <f>ROUND('Call Data'!$I834,0)</f>
        <v>5</v>
      </c>
    </row>
    <row r="835" spans="1:13" ht="14.25" customHeight="1" x14ac:dyDescent="0.35">
      <c r="A835" s="23" t="s">
        <v>869</v>
      </c>
      <c r="B835" s="23" t="s">
        <v>16</v>
      </c>
      <c r="C835" s="23">
        <v>56</v>
      </c>
      <c r="D835" s="24" t="str" cm="1">
        <f t="array" ref="D835">_xlfn.IFS(CallData[[#This Row],[Duration]]&lt;=15,"Very short",CallData[[#This Row],[Duration]]&lt;=30,"Short",CallData[[#This Row],[Duration]]&lt;=60,"Medium",CallData[[#This Row],[Duration]]&gt;60,"Long")</f>
        <v>Medium</v>
      </c>
      <c r="E835" s="24" t="s">
        <v>19</v>
      </c>
      <c r="F835" s="25">
        <v>45214</v>
      </c>
      <c r="G835" s="26">
        <v>225</v>
      </c>
      <c r="H835" s="26" t="str" cm="1">
        <f t="array" ref="H835">_xlfn.IFS(CallData[[#This Row],[Purchase Amount]]&lt;=50,"Low",CallData[[#This Row],[Purchase Amount]]&lt;=100,"Medium",CallData[[#This Row],[Purchase Amount]]&lt;=150,"High",CallData[[#This Row],[Purchase Amount]]&gt;150,"Very High")</f>
        <v>Very High</v>
      </c>
      <c r="I835" s="23">
        <v>4.9000000000000004</v>
      </c>
      <c r="J835" s="23">
        <f>IF(MONTH('Call Data'!$F835)&lt;=6, YEAR('Call Data'!$F835), YEAR('Call Data'!$F835)+1)</f>
        <v>2024</v>
      </c>
      <c r="K835" s="23" t="str">
        <f>TEXT('Call Data'!$F835,"DDDD")</f>
        <v>Sunday</v>
      </c>
      <c r="L835" s="23" t="s">
        <v>27</v>
      </c>
      <c r="M835" s="23">
        <f>ROUND('Call Data'!$I835,0)</f>
        <v>5</v>
      </c>
    </row>
    <row r="836" spans="1:13" ht="14.25" customHeight="1" x14ac:dyDescent="0.35">
      <c r="A836" s="23" t="s">
        <v>870</v>
      </c>
      <c r="B836" s="23" t="s">
        <v>23</v>
      </c>
      <c r="C836" s="23">
        <v>70</v>
      </c>
      <c r="D836" s="24" t="str" cm="1">
        <f t="array" ref="D836">_xlfn.IFS(CallData[[#This Row],[Duration]]&lt;=15,"Very short",CallData[[#This Row],[Duration]]&lt;=30,"Short",CallData[[#This Row],[Duration]]&lt;=60,"Medium",CallData[[#This Row],[Duration]]&gt;60,"Long")</f>
        <v>Long</v>
      </c>
      <c r="E836" s="24" t="s">
        <v>35</v>
      </c>
      <c r="F836" s="25">
        <v>45214</v>
      </c>
      <c r="G836" s="26">
        <v>50</v>
      </c>
      <c r="H836" s="26" t="str" cm="1">
        <f t="array" ref="H836">_xlfn.IFS(CallData[[#This Row],[Purchase Amount]]&lt;=50,"Low",CallData[[#This Row],[Purchase Amount]]&lt;=100,"Medium",CallData[[#This Row],[Purchase Amount]]&lt;=150,"High",CallData[[#This Row],[Purchase Amount]]&gt;150,"Very High")</f>
        <v>Low</v>
      </c>
      <c r="I836" s="23">
        <v>3.4</v>
      </c>
      <c r="J836" s="23">
        <f>IF(MONTH('Call Data'!$F836)&lt;=6, YEAR('Call Data'!$F836), YEAR('Call Data'!$F836)+1)</f>
        <v>2024</v>
      </c>
      <c r="K836" s="23" t="str">
        <f>TEXT('Call Data'!$F836,"DDDD")</f>
        <v>Sunday</v>
      </c>
      <c r="L836" s="23" t="s">
        <v>14</v>
      </c>
      <c r="M836" s="23">
        <f>ROUND('Call Data'!$I836,0)</f>
        <v>3</v>
      </c>
    </row>
    <row r="837" spans="1:13" ht="14.25" customHeight="1" x14ac:dyDescent="0.35">
      <c r="A837" s="23" t="s">
        <v>871</v>
      </c>
      <c r="B837" s="23" t="s">
        <v>23</v>
      </c>
      <c r="C837" s="23">
        <v>55</v>
      </c>
      <c r="D837" s="24" t="str" cm="1">
        <f t="array" ref="D837">_xlfn.IFS(CallData[[#This Row],[Duration]]&lt;=15,"Very short",CallData[[#This Row],[Duration]]&lt;=30,"Short",CallData[[#This Row],[Duration]]&lt;=60,"Medium",CallData[[#This Row],[Duration]]&gt;60,"Long")</f>
        <v>Medium</v>
      </c>
      <c r="E837" s="24" t="s">
        <v>24</v>
      </c>
      <c r="F837" s="25">
        <v>45214</v>
      </c>
      <c r="G837" s="26">
        <v>80</v>
      </c>
      <c r="H837" s="26" t="str" cm="1">
        <f t="array" ref="H837">_xlfn.IFS(CallData[[#This Row],[Purchase Amount]]&lt;=50,"Low",CallData[[#This Row],[Purchase Amount]]&lt;=100,"Medium",CallData[[#This Row],[Purchase Amount]]&lt;=150,"High",CallData[[#This Row],[Purchase Amount]]&gt;150,"Very High")</f>
        <v>Medium</v>
      </c>
      <c r="I837" s="23">
        <v>4.3</v>
      </c>
      <c r="J837" s="23">
        <f>IF(MONTH('Call Data'!$F837)&lt;=6, YEAR('Call Data'!$F837), YEAR('Call Data'!$F837)+1)</f>
        <v>2024</v>
      </c>
      <c r="K837" s="23" t="str">
        <f>TEXT('Call Data'!$F837,"DDDD")</f>
        <v>Sunday</v>
      </c>
      <c r="L837" s="23" t="s">
        <v>27</v>
      </c>
      <c r="M837" s="23">
        <f>ROUND('Call Data'!$I837,0)</f>
        <v>4</v>
      </c>
    </row>
    <row r="838" spans="1:13" ht="14.25" customHeight="1" x14ac:dyDescent="0.35">
      <c r="A838" s="23" t="s">
        <v>872</v>
      </c>
      <c r="B838" s="23" t="s">
        <v>29</v>
      </c>
      <c r="C838" s="23">
        <v>77</v>
      </c>
      <c r="D838" s="24" t="str" cm="1">
        <f t="array" ref="D838">_xlfn.IFS(CallData[[#This Row],[Duration]]&lt;=15,"Very short",CallData[[#This Row],[Duration]]&lt;=30,"Short",CallData[[#This Row],[Duration]]&lt;=60,"Medium",CallData[[#This Row],[Duration]]&gt;60,"Long")</f>
        <v>Long</v>
      </c>
      <c r="E838" s="24" t="s">
        <v>19</v>
      </c>
      <c r="F838" s="25">
        <v>45214</v>
      </c>
      <c r="G838" s="26">
        <v>78</v>
      </c>
      <c r="H838" s="26" t="str" cm="1">
        <f t="array" ref="H838">_xlfn.IFS(CallData[[#This Row],[Purchase Amount]]&lt;=50,"Low",CallData[[#This Row],[Purchase Amount]]&lt;=100,"Medium",CallData[[#This Row],[Purchase Amount]]&lt;=150,"High",CallData[[#This Row],[Purchase Amount]]&gt;150,"Very High")</f>
        <v>Medium</v>
      </c>
      <c r="I838" s="23">
        <v>3.9</v>
      </c>
      <c r="J838" s="23">
        <f>IF(MONTH('Call Data'!$F838)&lt;=6, YEAR('Call Data'!$F838), YEAR('Call Data'!$F838)+1)</f>
        <v>2024</v>
      </c>
      <c r="K838" s="23" t="str">
        <f>TEXT('Call Data'!$F838,"DDDD")</f>
        <v>Sunday</v>
      </c>
      <c r="L838" s="23" t="s">
        <v>14</v>
      </c>
      <c r="M838" s="23">
        <f>ROUND('Call Data'!$I838,0)</f>
        <v>4</v>
      </c>
    </row>
    <row r="839" spans="1:13" ht="14.25" customHeight="1" x14ac:dyDescent="0.35">
      <c r="A839" s="23" t="s">
        <v>873</v>
      </c>
      <c r="B839" s="23" t="s">
        <v>21</v>
      </c>
      <c r="C839" s="23">
        <v>133</v>
      </c>
      <c r="D839" s="24" t="str" cm="1">
        <f t="array" ref="D839">_xlfn.IFS(CallData[[#This Row],[Duration]]&lt;=15,"Very short",CallData[[#This Row],[Duration]]&lt;=30,"Short",CallData[[#This Row],[Duration]]&lt;=60,"Medium",CallData[[#This Row],[Duration]]&gt;60,"Long")</f>
        <v>Long</v>
      </c>
      <c r="E839" s="24" t="s">
        <v>35</v>
      </c>
      <c r="F839" s="25">
        <v>45215</v>
      </c>
      <c r="G839" s="26">
        <v>40</v>
      </c>
      <c r="H839" s="26" t="str" cm="1">
        <f t="array" ref="H839">_xlfn.IFS(CallData[[#This Row],[Purchase Amount]]&lt;=50,"Low",CallData[[#This Row],[Purchase Amount]]&lt;=100,"Medium",CallData[[#This Row],[Purchase Amount]]&lt;=150,"High",CallData[[#This Row],[Purchase Amount]]&gt;150,"Very High")</f>
        <v>Low</v>
      </c>
      <c r="I839" s="23">
        <v>3.9</v>
      </c>
      <c r="J839" s="23">
        <f>IF(MONTH('Call Data'!$F839)&lt;=6, YEAR('Call Data'!$F839), YEAR('Call Data'!$F839)+1)</f>
        <v>2024</v>
      </c>
      <c r="K839" s="23" t="str">
        <f>TEXT('Call Data'!$F839,"DDDD")</f>
        <v>Monday</v>
      </c>
      <c r="L839" s="23" t="s">
        <v>25</v>
      </c>
      <c r="M839" s="23">
        <f>ROUND('Call Data'!$I839,0)</f>
        <v>4</v>
      </c>
    </row>
    <row r="840" spans="1:13" ht="14.25" customHeight="1" x14ac:dyDescent="0.35">
      <c r="A840" s="23" t="s">
        <v>874</v>
      </c>
      <c r="B840" s="23" t="s">
        <v>29</v>
      </c>
      <c r="C840" s="23">
        <v>77</v>
      </c>
      <c r="D840" s="24" t="str" cm="1">
        <f t="array" ref="D840">_xlfn.IFS(CallData[[#This Row],[Duration]]&lt;=15,"Very short",CallData[[#This Row],[Duration]]&lt;=30,"Short",CallData[[#This Row],[Duration]]&lt;=60,"Medium",CallData[[#This Row],[Duration]]&gt;60,"Long")</f>
        <v>Long</v>
      </c>
      <c r="E840" s="24" t="s">
        <v>19</v>
      </c>
      <c r="F840" s="25">
        <v>45215</v>
      </c>
      <c r="G840" s="26">
        <v>176</v>
      </c>
      <c r="H840" s="26" t="str" cm="1">
        <f t="array" ref="H840">_xlfn.IFS(CallData[[#This Row],[Purchase Amount]]&lt;=50,"Low",CallData[[#This Row],[Purchase Amount]]&lt;=100,"Medium",CallData[[#This Row],[Purchase Amount]]&lt;=150,"High",CallData[[#This Row],[Purchase Amount]]&gt;150,"Very High")</f>
        <v>Very High</v>
      </c>
      <c r="I840" s="23">
        <v>1.5</v>
      </c>
      <c r="J840" s="23">
        <f>IF(MONTH('Call Data'!$F840)&lt;=6, YEAR('Call Data'!$F840), YEAR('Call Data'!$F840)+1)</f>
        <v>2024</v>
      </c>
      <c r="K840" s="23" t="str">
        <f>TEXT('Call Data'!$F840,"DDDD")</f>
        <v>Monday</v>
      </c>
      <c r="L840" s="23" t="s">
        <v>14</v>
      </c>
      <c r="M840" s="23">
        <f>ROUND('Call Data'!$I840,0)</f>
        <v>2</v>
      </c>
    </row>
    <row r="841" spans="1:13" ht="14.25" customHeight="1" x14ac:dyDescent="0.35">
      <c r="A841" s="23" t="s">
        <v>875</v>
      </c>
      <c r="B841" s="23" t="s">
        <v>55</v>
      </c>
      <c r="C841" s="23">
        <v>103</v>
      </c>
      <c r="D841" s="24" t="str" cm="1">
        <f t="array" ref="D841">_xlfn.IFS(CallData[[#This Row],[Duration]]&lt;=15,"Very short",CallData[[#This Row],[Duration]]&lt;=30,"Short",CallData[[#This Row],[Duration]]&lt;=60,"Medium",CallData[[#This Row],[Duration]]&gt;60,"Long")</f>
        <v>Long</v>
      </c>
      <c r="E841" s="24" t="s">
        <v>35</v>
      </c>
      <c r="F841" s="25">
        <v>45215</v>
      </c>
      <c r="G841" s="26">
        <v>78</v>
      </c>
      <c r="H841" s="26" t="str" cm="1">
        <f t="array" ref="H841">_xlfn.IFS(CallData[[#This Row],[Purchase Amount]]&lt;=50,"Low",CallData[[#This Row],[Purchase Amount]]&lt;=100,"Medium",CallData[[#This Row],[Purchase Amount]]&lt;=150,"High",CallData[[#This Row],[Purchase Amount]]&gt;150,"Very High")</f>
        <v>Medium</v>
      </c>
      <c r="I841" s="23">
        <v>3</v>
      </c>
      <c r="J841" s="23">
        <f>IF(MONTH('Call Data'!$F841)&lt;=6, YEAR('Call Data'!$F841), YEAR('Call Data'!$F841)+1)</f>
        <v>2024</v>
      </c>
      <c r="K841" s="23" t="str">
        <f>TEXT('Call Data'!$F841,"DDDD")</f>
        <v>Monday</v>
      </c>
      <c r="L841" s="23" t="s">
        <v>14</v>
      </c>
      <c r="M841" s="23">
        <f>ROUND('Call Data'!$I841,0)</f>
        <v>3</v>
      </c>
    </row>
    <row r="842" spans="1:13" ht="14.25" customHeight="1" x14ac:dyDescent="0.35">
      <c r="A842" s="23" t="s">
        <v>876</v>
      </c>
      <c r="B842" s="23" t="s">
        <v>88</v>
      </c>
      <c r="C842" s="23">
        <v>32</v>
      </c>
      <c r="D842" s="24" t="str" cm="1">
        <f t="array" ref="D842">_xlfn.IFS(CallData[[#This Row],[Duration]]&lt;=15,"Very short",CallData[[#This Row],[Duration]]&lt;=30,"Short",CallData[[#This Row],[Duration]]&lt;=60,"Medium",CallData[[#This Row],[Duration]]&gt;60,"Long")</f>
        <v>Medium</v>
      </c>
      <c r="E842" s="24" t="s">
        <v>19</v>
      </c>
      <c r="F842" s="25">
        <v>45215</v>
      </c>
      <c r="G842" s="26">
        <v>42</v>
      </c>
      <c r="H842" s="26" t="str" cm="1">
        <f t="array" ref="H842">_xlfn.IFS(CallData[[#This Row],[Purchase Amount]]&lt;=50,"Low",CallData[[#This Row],[Purchase Amount]]&lt;=100,"Medium",CallData[[#This Row],[Purchase Amount]]&lt;=150,"High",CallData[[#This Row],[Purchase Amount]]&gt;150,"Very High")</f>
        <v>Low</v>
      </c>
      <c r="I842" s="23">
        <v>4.2</v>
      </c>
      <c r="J842" s="23">
        <f>IF(MONTH('Call Data'!$F842)&lt;=6, YEAR('Call Data'!$F842), YEAR('Call Data'!$F842)+1)</f>
        <v>2024</v>
      </c>
      <c r="K842" s="23" t="str">
        <f>TEXT('Call Data'!$F842,"DDDD")</f>
        <v>Monday</v>
      </c>
      <c r="L842" s="23" t="s">
        <v>27</v>
      </c>
      <c r="M842" s="23">
        <f>ROUND('Call Data'!$I842,0)</f>
        <v>4</v>
      </c>
    </row>
    <row r="843" spans="1:13" ht="14.25" customHeight="1" x14ac:dyDescent="0.35">
      <c r="A843" s="23" t="s">
        <v>877</v>
      </c>
      <c r="B843" s="23" t="s">
        <v>21</v>
      </c>
      <c r="C843" s="23">
        <v>30</v>
      </c>
      <c r="D843" s="24" t="str" cm="1">
        <f t="array" ref="D843">_xlfn.IFS(CallData[[#This Row],[Duration]]&lt;=15,"Very short",CallData[[#This Row],[Duration]]&lt;=30,"Short",CallData[[#This Row],[Duration]]&lt;=60,"Medium",CallData[[#This Row],[Duration]]&gt;60,"Long")</f>
        <v>Short</v>
      </c>
      <c r="E843" s="24" t="s">
        <v>35</v>
      </c>
      <c r="F843" s="25">
        <v>45215</v>
      </c>
      <c r="G843" s="26">
        <v>38</v>
      </c>
      <c r="H843" s="26" t="str" cm="1">
        <f t="array" ref="H843">_xlfn.IFS(CallData[[#This Row],[Purchase Amount]]&lt;=50,"Low",CallData[[#This Row],[Purchase Amount]]&lt;=100,"Medium",CallData[[#This Row],[Purchase Amount]]&lt;=150,"High",CallData[[#This Row],[Purchase Amount]]&gt;150,"Very High")</f>
        <v>Low</v>
      </c>
      <c r="I843" s="23">
        <v>3.7</v>
      </c>
      <c r="J843" s="23">
        <f>IF(MONTH('Call Data'!$F843)&lt;=6, YEAR('Call Data'!$F843), YEAR('Call Data'!$F843)+1)</f>
        <v>2024</v>
      </c>
      <c r="K843" s="23" t="str">
        <f>TEXT('Call Data'!$F843,"DDDD")</f>
        <v>Monday</v>
      </c>
      <c r="L843" s="23" t="s">
        <v>47</v>
      </c>
      <c r="M843" s="23">
        <f>ROUND('Call Data'!$I843,0)</f>
        <v>4</v>
      </c>
    </row>
    <row r="844" spans="1:13" ht="14.25" customHeight="1" x14ac:dyDescent="0.35">
      <c r="A844" s="23" t="s">
        <v>878</v>
      </c>
      <c r="B844" s="23" t="s">
        <v>18</v>
      </c>
      <c r="C844" s="23">
        <v>87</v>
      </c>
      <c r="D844" s="24" t="str" cm="1">
        <f t="array" ref="D844">_xlfn.IFS(CallData[[#This Row],[Duration]]&lt;=15,"Very short",CallData[[#This Row],[Duration]]&lt;=30,"Short",CallData[[#This Row],[Duration]]&lt;=60,"Medium",CallData[[#This Row],[Duration]]&gt;60,"Long")</f>
        <v>Long</v>
      </c>
      <c r="E844" s="24" t="s">
        <v>31</v>
      </c>
      <c r="F844" s="25">
        <v>45215</v>
      </c>
      <c r="G844" s="26">
        <v>27</v>
      </c>
      <c r="H844" s="26" t="str" cm="1">
        <f t="array" ref="H844">_xlfn.IFS(CallData[[#This Row],[Purchase Amount]]&lt;=50,"Low",CallData[[#This Row],[Purchase Amount]]&lt;=100,"Medium",CallData[[#This Row],[Purchase Amount]]&lt;=150,"High",CallData[[#This Row],[Purchase Amount]]&gt;150,"Very High")</f>
        <v>Low</v>
      </c>
      <c r="I844" s="23">
        <v>4.2</v>
      </c>
      <c r="J844" s="23">
        <f>IF(MONTH('Call Data'!$F844)&lt;=6, YEAR('Call Data'!$F844), YEAR('Call Data'!$F844)+1)</f>
        <v>2024</v>
      </c>
      <c r="K844" s="23" t="str">
        <f>TEXT('Call Data'!$F844,"DDDD")</f>
        <v>Monday</v>
      </c>
      <c r="L844" s="23" t="s">
        <v>14</v>
      </c>
      <c r="M844" s="23">
        <f>ROUND('Call Data'!$I844,0)</f>
        <v>4</v>
      </c>
    </row>
    <row r="845" spans="1:13" ht="14.25" customHeight="1" x14ac:dyDescent="0.35">
      <c r="A845" s="23" t="s">
        <v>879</v>
      </c>
      <c r="B845" s="23" t="s">
        <v>29</v>
      </c>
      <c r="C845" s="23">
        <v>137</v>
      </c>
      <c r="D845" s="24" t="str" cm="1">
        <f t="array" ref="D845">_xlfn.IFS(CallData[[#This Row],[Duration]]&lt;=15,"Very short",CallData[[#This Row],[Duration]]&lt;=30,"Short",CallData[[#This Row],[Duration]]&lt;=60,"Medium",CallData[[#This Row],[Duration]]&gt;60,"Long")</f>
        <v>Long</v>
      </c>
      <c r="E845" s="24" t="s">
        <v>13</v>
      </c>
      <c r="F845" s="25">
        <v>45216</v>
      </c>
      <c r="G845" s="26">
        <v>45</v>
      </c>
      <c r="H845" s="26" t="str" cm="1">
        <f t="array" ref="H845">_xlfn.IFS(CallData[[#This Row],[Purchase Amount]]&lt;=50,"Low",CallData[[#This Row],[Purchase Amount]]&lt;=100,"Medium",CallData[[#This Row],[Purchase Amount]]&lt;=150,"High",CallData[[#This Row],[Purchase Amount]]&gt;150,"Very High")</f>
        <v>Low</v>
      </c>
      <c r="I845" s="23">
        <v>4.4000000000000004</v>
      </c>
      <c r="J845" s="23">
        <f>IF(MONTH('Call Data'!$F845)&lt;=6, YEAR('Call Data'!$F845), YEAR('Call Data'!$F845)+1)</f>
        <v>2024</v>
      </c>
      <c r="K845" s="23" t="str">
        <f>TEXT('Call Data'!$F845,"DDDD")</f>
        <v>Tuesday</v>
      </c>
      <c r="L845" s="23" t="s">
        <v>25</v>
      </c>
      <c r="M845" s="23">
        <f>ROUND('Call Data'!$I845,0)</f>
        <v>4</v>
      </c>
    </row>
    <row r="846" spans="1:13" ht="14.25" customHeight="1" x14ac:dyDescent="0.35">
      <c r="A846" s="23" t="s">
        <v>880</v>
      </c>
      <c r="B846" s="23" t="s">
        <v>38</v>
      </c>
      <c r="C846" s="23">
        <v>96</v>
      </c>
      <c r="D846" s="24" t="str" cm="1">
        <f t="array" ref="D846">_xlfn.IFS(CallData[[#This Row],[Duration]]&lt;=15,"Very short",CallData[[#This Row],[Duration]]&lt;=30,"Short",CallData[[#This Row],[Duration]]&lt;=60,"Medium",CallData[[#This Row],[Duration]]&gt;60,"Long")</f>
        <v>Long</v>
      </c>
      <c r="E846" s="24" t="s">
        <v>35</v>
      </c>
      <c r="F846" s="25">
        <v>45216</v>
      </c>
      <c r="G846" s="26">
        <v>215</v>
      </c>
      <c r="H846" s="26" t="str" cm="1">
        <f t="array" ref="H846">_xlfn.IFS(CallData[[#This Row],[Purchase Amount]]&lt;=50,"Low",CallData[[#This Row],[Purchase Amount]]&lt;=100,"Medium",CallData[[#This Row],[Purchase Amount]]&lt;=150,"High",CallData[[#This Row],[Purchase Amount]]&gt;150,"Very High")</f>
        <v>Very High</v>
      </c>
      <c r="I846" s="23">
        <v>4</v>
      </c>
      <c r="J846" s="23">
        <f>IF(MONTH('Call Data'!$F846)&lt;=6, YEAR('Call Data'!$F846), YEAR('Call Data'!$F846)+1)</f>
        <v>2024</v>
      </c>
      <c r="K846" s="23" t="str">
        <f>TEXT('Call Data'!$F846,"DDDD")</f>
        <v>Tuesday</v>
      </c>
      <c r="L846" s="23" t="s">
        <v>14</v>
      </c>
      <c r="M846" s="23">
        <f>ROUND('Call Data'!$I846,0)</f>
        <v>4</v>
      </c>
    </row>
    <row r="847" spans="1:13" ht="14.25" customHeight="1" x14ac:dyDescent="0.35">
      <c r="A847" s="23" t="s">
        <v>881</v>
      </c>
      <c r="B847" s="23" t="s">
        <v>34</v>
      </c>
      <c r="C847" s="23">
        <v>155</v>
      </c>
      <c r="D847" s="24" t="str" cm="1">
        <f t="array" ref="D847">_xlfn.IFS(CallData[[#This Row],[Duration]]&lt;=15,"Very short",CallData[[#This Row],[Duration]]&lt;=30,"Short",CallData[[#This Row],[Duration]]&lt;=60,"Medium",CallData[[#This Row],[Duration]]&gt;60,"Long")</f>
        <v>Long</v>
      </c>
      <c r="E847" s="24" t="s">
        <v>35</v>
      </c>
      <c r="F847" s="25">
        <v>45217</v>
      </c>
      <c r="G847" s="26">
        <v>72</v>
      </c>
      <c r="H847" s="26" t="str" cm="1">
        <f t="array" ref="H847">_xlfn.IFS(CallData[[#This Row],[Purchase Amount]]&lt;=50,"Low",CallData[[#This Row],[Purchase Amount]]&lt;=100,"Medium",CallData[[#This Row],[Purchase Amount]]&lt;=150,"High",CallData[[#This Row],[Purchase Amount]]&gt;150,"Very High")</f>
        <v>Medium</v>
      </c>
      <c r="I847" s="23">
        <v>4.7</v>
      </c>
      <c r="J847" s="23">
        <f>IF(MONTH('Call Data'!$F847)&lt;=6, YEAR('Call Data'!$F847), YEAR('Call Data'!$F847)+1)</f>
        <v>2024</v>
      </c>
      <c r="K847" s="23" t="str">
        <f>TEXT('Call Data'!$F847,"DDDD")</f>
        <v>Wednesday</v>
      </c>
      <c r="L847" s="23" t="s">
        <v>25</v>
      </c>
      <c r="M847" s="23">
        <f>ROUND('Call Data'!$I847,0)</f>
        <v>5</v>
      </c>
    </row>
    <row r="848" spans="1:13" ht="14.25" customHeight="1" x14ac:dyDescent="0.35">
      <c r="A848" s="23" t="s">
        <v>882</v>
      </c>
      <c r="B848" s="23" t="s">
        <v>21</v>
      </c>
      <c r="C848" s="23">
        <v>173</v>
      </c>
      <c r="D848" s="24" t="str" cm="1">
        <f t="array" ref="D848">_xlfn.IFS(CallData[[#This Row],[Duration]]&lt;=15,"Very short",CallData[[#This Row],[Duration]]&lt;=30,"Short",CallData[[#This Row],[Duration]]&lt;=60,"Medium",CallData[[#This Row],[Duration]]&gt;60,"Long")</f>
        <v>Long</v>
      </c>
      <c r="E848" s="24" t="s">
        <v>24</v>
      </c>
      <c r="F848" s="25">
        <v>45217</v>
      </c>
      <c r="G848" s="26">
        <v>160</v>
      </c>
      <c r="H848" s="26" t="str" cm="1">
        <f t="array" ref="H848">_xlfn.IFS(CallData[[#This Row],[Purchase Amount]]&lt;=50,"Low",CallData[[#This Row],[Purchase Amount]]&lt;=100,"Medium",CallData[[#This Row],[Purchase Amount]]&lt;=150,"High",CallData[[#This Row],[Purchase Amount]]&gt;150,"Very High")</f>
        <v>Very High</v>
      </c>
      <c r="I848" s="23">
        <v>2.8</v>
      </c>
      <c r="J848" s="23">
        <f>IF(MONTH('Call Data'!$F848)&lt;=6, YEAR('Call Data'!$F848), YEAR('Call Data'!$F848)+1)</f>
        <v>2024</v>
      </c>
      <c r="K848" s="23" t="str">
        <f>TEXT('Call Data'!$F848,"DDDD")</f>
        <v>Wednesday</v>
      </c>
      <c r="L848" s="23" t="s">
        <v>25</v>
      </c>
      <c r="M848" s="23">
        <f>ROUND('Call Data'!$I848,0)</f>
        <v>3</v>
      </c>
    </row>
    <row r="849" spans="1:13" ht="14.25" customHeight="1" x14ac:dyDescent="0.35">
      <c r="A849" s="23" t="s">
        <v>883</v>
      </c>
      <c r="B849" s="23" t="s">
        <v>34</v>
      </c>
      <c r="C849" s="23">
        <v>127</v>
      </c>
      <c r="D849" s="24" t="str" cm="1">
        <f t="array" ref="D849">_xlfn.IFS(CallData[[#This Row],[Duration]]&lt;=15,"Very short",CallData[[#This Row],[Duration]]&lt;=30,"Short",CallData[[#This Row],[Duration]]&lt;=60,"Medium",CallData[[#This Row],[Duration]]&gt;60,"Long")</f>
        <v>Long</v>
      </c>
      <c r="E849" s="24" t="s">
        <v>35</v>
      </c>
      <c r="F849" s="25">
        <v>45217</v>
      </c>
      <c r="G849" s="26">
        <v>165</v>
      </c>
      <c r="H849" s="26" t="str" cm="1">
        <f t="array" ref="H849">_xlfn.IFS(CallData[[#This Row],[Purchase Amount]]&lt;=50,"Low",CallData[[#This Row],[Purchase Amount]]&lt;=100,"Medium",CallData[[#This Row],[Purchase Amount]]&lt;=150,"High",CallData[[#This Row],[Purchase Amount]]&gt;150,"Very High")</f>
        <v>Very High</v>
      </c>
      <c r="I849" s="23">
        <v>2.5</v>
      </c>
      <c r="J849" s="23">
        <f>IF(MONTH('Call Data'!$F849)&lt;=6, YEAR('Call Data'!$F849), YEAR('Call Data'!$F849)+1)</f>
        <v>2024</v>
      </c>
      <c r="K849" s="23" t="str">
        <f>TEXT('Call Data'!$F849,"DDDD")</f>
        <v>Wednesday</v>
      </c>
      <c r="L849" s="23" t="s">
        <v>25</v>
      </c>
      <c r="M849" s="23">
        <f>ROUND('Call Data'!$I849,0)</f>
        <v>3</v>
      </c>
    </row>
    <row r="850" spans="1:13" ht="14.25" customHeight="1" x14ac:dyDescent="0.35">
      <c r="A850" s="23" t="s">
        <v>884</v>
      </c>
      <c r="B850" s="23" t="s">
        <v>16</v>
      </c>
      <c r="C850" s="23">
        <v>117</v>
      </c>
      <c r="D850" s="24" t="str" cm="1">
        <f t="array" ref="D850">_xlfn.IFS(CallData[[#This Row],[Duration]]&lt;=15,"Very short",CallData[[#This Row],[Duration]]&lt;=30,"Short",CallData[[#This Row],[Duration]]&lt;=60,"Medium",CallData[[#This Row],[Duration]]&gt;60,"Long")</f>
        <v>Long</v>
      </c>
      <c r="E850" s="24" t="s">
        <v>24</v>
      </c>
      <c r="F850" s="25">
        <v>45217</v>
      </c>
      <c r="G850" s="26">
        <v>120</v>
      </c>
      <c r="H850" s="26" t="str" cm="1">
        <f t="array" ref="H850">_xlfn.IFS(CallData[[#This Row],[Purchase Amount]]&lt;=50,"Low",CallData[[#This Row],[Purchase Amount]]&lt;=100,"Medium",CallData[[#This Row],[Purchase Amount]]&lt;=150,"High",CallData[[#This Row],[Purchase Amount]]&gt;150,"Very High")</f>
        <v>High</v>
      </c>
      <c r="I850" s="23">
        <v>3.4</v>
      </c>
      <c r="J850" s="23">
        <f>IF(MONTH('Call Data'!$F850)&lt;=6, YEAR('Call Data'!$F850), YEAR('Call Data'!$F850)+1)</f>
        <v>2024</v>
      </c>
      <c r="K850" s="23" t="str">
        <f>TEXT('Call Data'!$F850,"DDDD")</f>
        <v>Wednesday</v>
      </c>
      <c r="L850" s="23" t="s">
        <v>14</v>
      </c>
      <c r="M850" s="23">
        <f>ROUND('Call Data'!$I850,0)</f>
        <v>3</v>
      </c>
    </row>
    <row r="851" spans="1:13" ht="14.25" customHeight="1" x14ac:dyDescent="0.35">
      <c r="A851" s="23" t="s">
        <v>885</v>
      </c>
      <c r="B851" s="23" t="s">
        <v>12</v>
      </c>
      <c r="C851" s="23">
        <v>133</v>
      </c>
      <c r="D851" s="24" t="str" cm="1">
        <f t="array" ref="D851">_xlfn.IFS(CallData[[#This Row],[Duration]]&lt;=15,"Very short",CallData[[#This Row],[Duration]]&lt;=30,"Short",CallData[[#This Row],[Duration]]&lt;=60,"Medium",CallData[[#This Row],[Duration]]&gt;60,"Long")</f>
        <v>Long</v>
      </c>
      <c r="E851" s="24" t="s">
        <v>19</v>
      </c>
      <c r="F851" s="25">
        <v>45217</v>
      </c>
      <c r="G851" s="26">
        <v>117</v>
      </c>
      <c r="H851" s="26" t="str" cm="1">
        <f t="array" ref="H851">_xlfn.IFS(CallData[[#This Row],[Purchase Amount]]&lt;=50,"Low",CallData[[#This Row],[Purchase Amount]]&lt;=100,"Medium",CallData[[#This Row],[Purchase Amount]]&lt;=150,"High",CallData[[#This Row],[Purchase Amount]]&gt;150,"Very High")</f>
        <v>High</v>
      </c>
      <c r="I851" s="23">
        <v>4.8</v>
      </c>
      <c r="J851" s="23">
        <f>IF(MONTH('Call Data'!$F851)&lt;=6, YEAR('Call Data'!$F851), YEAR('Call Data'!$F851)+1)</f>
        <v>2024</v>
      </c>
      <c r="K851" s="23" t="str">
        <f>TEXT('Call Data'!$F851,"DDDD")</f>
        <v>Wednesday</v>
      </c>
      <c r="L851" s="23" t="s">
        <v>25</v>
      </c>
      <c r="M851" s="23">
        <f>ROUND('Call Data'!$I851,0)</f>
        <v>5</v>
      </c>
    </row>
    <row r="852" spans="1:13" ht="14.25" customHeight="1" x14ac:dyDescent="0.35">
      <c r="A852" s="23" t="s">
        <v>886</v>
      </c>
      <c r="B852" s="23" t="s">
        <v>40</v>
      </c>
      <c r="C852" s="23">
        <v>166</v>
      </c>
      <c r="D852" s="24" t="str" cm="1">
        <f t="array" ref="D852">_xlfn.IFS(CallData[[#This Row],[Duration]]&lt;=15,"Very short",CallData[[#This Row],[Duration]]&lt;=30,"Short",CallData[[#This Row],[Duration]]&lt;=60,"Medium",CallData[[#This Row],[Duration]]&gt;60,"Long")</f>
        <v>Long</v>
      </c>
      <c r="E852" s="24" t="s">
        <v>31</v>
      </c>
      <c r="F852" s="25">
        <v>45218</v>
      </c>
      <c r="G852" s="26">
        <v>29</v>
      </c>
      <c r="H852" s="26" t="str" cm="1">
        <f t="array" ref="H852">_xlfn.IFS(CallData[[#This Row],[Purchase Amount]]&lt;=50,"Low",CallData[[#This Row],[Purchase Amount]]&lt;=100,"Medium",CallData[[#This Row],[Purchase Amount]]&lt;=150,"High",CallData[[#This Row],[Purchase Amount]]&gt;150,"Very High")</f>
        <v>Low</v>
      </c>
      <c r="I852" s="23">
        <v>4.3</v>
      </c>
      <c r="J852" s="23">
        <f>IF(MONTH('Call Data'!$F852)&lt;=6, YEAR('Call Data'!$F852), YEAR('Call Data'!$F852)+1)</f>
        <v>2024</v>
      </c>
      <c r="K852" s="23" t="str">
        <f>TEXT('Call Data'!$F852,"DDDD")</f>
        <v>Thursday</v>
      </c>
      <c r="L852" s="23" t="s">
        <v>25</v>
      </c>
      <c r="M852" s="23">
        <f>ROUND('Call Data'!$I852,0)</f>
        <v>4</v>
      </c>
    </row>
    <row r="853" spans="1:13" ht="14.25" customHeight="1" x14ac:dyDescent="0.35">
      <c r="A853" s="23" t="s">
        <v>887</v>
      </c>
      <c r="B853" s="23" t="s">
        <v>12</v>
      </c>
      <c r="C853" s="23">
        <v>50</v>
      </c>
      <c r="D853" s="24" t="str" cm="1">
        <f t="array" ref="D853">_xlfn.IFS(CallData[[#This Row],[Duration]]&lt;=15,"Very short",CallData[[#This Row],[Duration]]&lt;=30,"Short",CallData[[#This Row],[Duration]]&lt;=60,"Medium",CallData[[#This Row],[Duration]]&gt;60,"Long")</f>
        <v>Medium</v>
      </c>
      <c r="E853" s="24" t="s">
        <v>24</v>
      </c>
      <c r="F853" s="25">
        <v>45218</v>
      </c>
      <c r="G853" s="26">
        <v>64</v>
      </c>
      <c r="H853" s="26" t="str" cm="1">
        <f t="array" ref="H853">_xlfn.IFS(CallData[[#This Row],[Purchase Amount]]&lt;=50,"Low",CallData[[#This Row],[Purchase Amount]]&lt;=100,"Medium",CallData[[#This Row],[Purchase Amount]]&lt;=150,"High",CallData[[#This Row],[Purchase Amount]]&gt;150,"Very High")</f>
        <v>Medium</v>
      </c>
      <c r="I853" s="23">
        <v>4.5</v>
      </c>
      <c r="J853" s="23">
        <f>IF(MONTH('Call Data'!$F853)&lt;=6, YEAR('Call Data'!$F853), YEAR('Call Data'!$F853)+1)</f>
        <v>2024</v>
      </c>
      <c r="K853" s="23" t="str">
        <f>TEXT('Call Data'!$F853,"DDDD")</f>
        <v>Thursday</v>
      </c>
      <c r="L853" s="23" t="s">
        <v>27</v>
      </c>
      <c r="M853" s="23">
        <f>ROUND('Call Data'!$I853,0)</f>
        <v>5</v>
      </c>
    </row>
    <row r="854" spans="1:13" ht="14.25" customHeight="1" x14ac:dyDescent="0.35">
      <c r="A854" s="23" t="s">
        <v>888</v>
      </c>
      <c r="B854" s="23" t="s">
        <v>55</v>
      </c>
      <c r="C854" s="23">
        <v>43</v>
      </c>
      <c r="D854" s="24" t="str" cm="1">
        <f t="array" ref="D854">_xlfn.IFS(CallData[[#This Row],[Duration]]&lt;=15,"Very short",CallData[[#This Row],[Duration]]&lt;=30,"Short",CallData[[#This Row],[Duration]]&lt;=60,"Medium",CallData[[#This Row],[Duration]]&gt;60,"Long")</f>
        <v>Medium</v>
      </c>
      <c r="E854" s="24" t="s">
        <v>19</v>
      </c>
      <c r="F854" s="25">
        <v>45218</v>
      </c>
      <c r="G854" s="26">
        <v>84</v>
      </c>
      <c r="H854" s="26" t="str" cm="1">
        <f t="array" ref="H854">_xlfn.IFS(CallData[[#This Row],[Purchase Amount]]&lt;=50,"Low",CallData[[#This Row],[Purchase Amount]]&lt;=100,"Medium",CallData[[#This Row],[Purchase Amount]]&lt;=150,"High",CallData[[#This Row],[Purchase Amount]]&gt;150,"Very High")</f>
        <v>Medium</v>
      </c>
      <c r="I854" s="23">
        <v>3.6</v>
      </c>
      <c r="J854" s="23">
        <f>IF(MONTH('Call Data'!$F854)&lt;=6, YEAR('Call Data'!$F854), YEAR('Call Data'!$F854)+1)</f>
        <v>2024</v>
      </c>
      <c r="K854" s="23" t="str">
        <f>TEXT('Call Data'!$F854,"DDDD")</f>
        <v>Thursday</v>
      </c>
      <c r="L854" s="23" t="s">
        <v>27</v>
      </c>
      <c r="M854" s="23">
        <f>ROUND('Call Data'!$I854,0)</f>
        <v>4</v>
      </c>
    </row>
    <row r="855" spans="1:13" ht="14.25" customHeight="1" x14ac:dyDescent="0.35">
      <c r="A855" s="23" t="s">
        <v>889</v>
      </c>
      <c r="B855" s="23" t="s">
        <v>38</v>
      </c>
      <c r="C855" s="23">
        <v>124</v>
      </c>
      <c r="D855" s="24" t="str" cm="1">
        <f t="array" ref="D855">_xlfn.IFS(CallData[[#This Row],[Duration]]&lt;=15,"Very short",CallData[[#This Row],[Duration]]&lt;=30,"Short",CallData[[#This Row],[Duration]]&lt;=60,"Medium",CallData[[#This Row],[Duration]]&gt;60,"Long")</f>
        <v>Long</v>
      </c>
      <c r="E855" s="24" t="s">
        <v>35</v>
      </c>
      <c r="F855" s="25">
        <v>45218</v>
      </c>
      <c r="G855" s="26">
        <v>42</v>
      </c>
      <c r="H855" s="26" t="str" cm="1">
        <f t="array" ref="H855">_xlfn.IFS(CallData[[#This Row],[Purchase Amount]]&lt;=50,"Low",CallData[[#This Row],[Purchase Amount]]&lt;=100,"Medium",CallData[[#This Row],[Purchase Amount]]&lt;=150,"High",CallData[[#This Row],[Purchase Amount]]&gt;150,"Very High")</f>
        <v>Low</v>
      </c>
      <c r="I855" s="23">
        <v>3.7</v>
      </c>
      <c r="J855" s="23">
        <f>IF(MONTH('Call Data'!$F855)&lt;=6, YEAR('Call Data'!$F855), YEAR('Call Data'!$F855)+1)</f>
        <v>2024</v>
      </c>
      <c r="K855" s="23" t="str">
        <f>TEXT('Call Data'!$F855,"DDDD")</f>
        <v>Thursday</v>
      </c>
      <c r="L855" s="23" t="s">
        <v>25</v>
      </c>
      <c r="M855" s="23">
        <f>ROUND('Call Data'!$I855,0)</f>
        <v>4</v>
      </c>
    </row>
    <row r="856" spans="1:13" ht="14.25" customHeight="1" x14ac:dyDescent="0.35">
      <c r="A856" s="23" t="s">
        <v>890</v>
      </c>
      <c r="B856" s="23" t="s">
        <v>21</v>
      </c>
      <c r="C856" s="23">
        <v>94</v>
      </c>
      <c r="D856" s="24" t="str" cm="1">
        <f t="array" ref="D856">_xlfn.IFS(CallData[[#This Row],[Duration]]&lt;=15,"Very short",CallData[[#This Row],[Duration]]&lt;=30,"Short",CallData[[#This Row],[Duration]]&lt;=60,"Medium",CallData[[#This Row],[Duration]]&gt;60,"Long")</f>
        <v>Long</v>
      </c>
      <c r="E856" s="24" t="s">
        <v>35</v>
      </c>
      <c r="F856" s="25">
        <v>45218</v>
      </c>
      <c r="G856" s="26">
        <v>120</v>
      </c>
      <c r="H856" s="26" t="str" cm="1">
        <f t="array" ref="H856">_xlfn.IFS(CallData[[#This Row],[Purchase Amount]]&lt;=50,"Low",CallData[[#This Row],[Purchase Amount]]&lt;=100,"Medium",CallData[[#This Row],[Purchase Amount]]&lt;=150,"High",CallData[[#This Row],[Purchase Amount]]&gt;150,"Very High")</f>
        <v>High</v>
      </c>
      <c r="I856" s="23">
        <v>3.5</v>
      </c>
      <c r="J856" s="23">
        <f>IF(MONTH('Call Data'!$F856)&lt;=6, YEAR('Call Data'!$F856), YEAR('Call Data'!$F856)+1)</f>
        <v>2024</v>
      </c>
      <c r="K856" s="23" t="str">
        <f>TEXT('Call Data'!$F856,"DDDD")</f>
        <v>Thursday</v>
      </c>
      <c r="L856" s="23" t="s">
        <v>14</v>
      </c>
      <c r="M856" s="23">
        <f>ROUND('Call Data'!$I856,0)</f>
        <v>4</v>
      </c>
    </row>
    <row r="857" spans="1:13" ht="14.25" customHeight="1" x14ac:dyDescent="0.35">
      <c r="A857" s="23" t="s">
        <v>891</v>
      </c>
      <c r="B857" s="23" t="s">
        <v>55</v>
      </c>
      <c r="C857" s="23">
        <v>126</v>
      </c>
      <c r="D857" s="24" t="str" cm="1">
        <f t="array" ref="D857">_xlfn.IFS(CallData[[#This Row],[Duration]]&lt;=15,"Very short",CallData[[#This Row],[Duration]]&lt;=30,"Short",CallData[[#This Row],[Duration]]&lt;=60,"Medium",CallData[[#This Row],[Duration]]&gt;60,"Long")</f>
        <v>Long</v>
      </c>
      <c r="E857" s="24" t="s">
        <v>31</v>
      </c>
      <c r="F857" s="25">
        <v>45219</v>
      </c>
      <c r="G857" s="26">
        <v>80</v>
      </c>
      <c r="H857" s="26" t="str" cm="1">
        <f t="array" ref="H857">_xlfn.IFS(CallData[[#This Row],[Purchase Amount]]&lt;=50,"Low",CallData[[#This Row],[Purchase Amount]]&lt;=100,"Medium",CallData[[#This Row],[Purchase Amount]]&lt;=150,"High",CallData[[#This Row],[Purchase Amount]]&gt;150,"Very High")</f>
        <v>Medium</v>
      </c>
      <c r="I857" s="23">
        <v>4.7</v>
      </c>
      <c r="J857" s="23">
        <f>IF(MONTH('Call Data'!$F857)&lt;=6, YEAR('Call Data'!$F857), YEAR('Call Data'!$F857)+1)</f>
        <v>2024</v>
      </c>
      <c r="K857" s="23" t="str">
        <f>TEXT('Call Data'!$F857,"DDDD")</f>
        <v>Friday</v>
      </c>
      <c r="L857" s="23" t="s">
        <v>25</v>
      </c>
      <c r="M857" s="23">
        <f>ROUND('Call Data'!$I857,0)</f>
        <v>5</v>
      </c>
    </row>
    <row r="858" spans="1:13" ht="14.25" customHeight="1" x14ac:dyDescent="0.35">
      <c r="A858" s="23" t="s">
        <v>892</v>
      </c>
      <c r="B858" s="23" t="s">
        <v>40</v>
      </c>
      <c r="C858" s="23">
        <v>105</v>
      </c>
      <c r="D858" s="24" t="str" cm="1">
        <f t="array" ref="D858">_xlfn.IFS(CallData[[#This Row],[Duration]]&lt;=15,"Very short",CallData[[#This Row],[Duration]]&lt;=30,"Short",CallData[[#This Row],[Duration]]&lt;=60,"Medium",CallData[[#This Row],[Duration]]&gt;60,"Long")</f>
        <v>Long</v>
      </c>
      <c r="E858" s="24" t="s">
        <v>24</v>
      </c>
      <c r="F858" s="25">
        <v>45219</v>
      </c>
      <c r="G858" s="26">
        <v>185</v>
      </c>
      <c r="H858" s="26" t="str" cm="1">
        <f t="array" ref="H858">_xlfn.IFS(CallData[[#This Row],[Purchase Amount]]&lt;=50,"Low",CallData[[#This Row],[Purchase Amount]]&lt;=100,"Medium",CallData[[#This Row],[Purchase Amount]]&lt;=150,"High",CallData[[#This Row],[Purchase Amount]]&gt;150,"Very High")</f>
        <v>Very High</v>
      </c>
      <c r="I858" s="23">
        <v>3.5</v>
      </c>
      <c r="J858" s="23">
        <f>IF(MONTH('Call Data'!$F858)&lt;=6, YEAR('Call Data'!$F858), YEAR('Call Data'!$F858)+1)</f>
        <v>2024</v>
      </c>
      <c r="K858" s="23" t="str">
        <f>TEXT('Call Data'!$F858,"DDDD")</f>
        <v>Friday</v>
      </c>
      <c r="L858" s="23" t="s">
        <v>14</v>
      </c>
      <c r="M858" s="23">
        <f>ROUND('Call Data'!$I858,0)</f>
        <v>4</v>
      </c>
    </row>
    <row r="859" spans="1:13" ht="14.25" customHeight="1" x14ac:dyDescent="0.35">
      <c r="A859" s="23" t="s">
        <v>893</v>
      </c>
      <c r="B859" s="23" t="s">
        <v>23</v>
      </c>
      <c r="C859" s="23">
        <v>60</v>
      </c>
      <c r="D859" s="24" t="str" cm="1">
        <f t="array" ref="D859">_xlfn.IFS(CallData[[#This Row],[Duration]]&lt;=15,"Very short",CallData[[#This Row],[Duration]]&lt;=30,"Short",CallData[[#This Row],[Duration]]&lt;=60,"Medium",CallData[[#This Row],[Duration]]&gt;60,"Long")</f>
        <v>Medium</v>
      </c>
      <c r="E859" s="24" t="s">
        <v>13</v>
      </c>
      <c r="F859" s="25">
        <v>45220</v>
      </c>
      <c r="G859" s="26">
        <v>135</v>
      </c>
      <c r="H859" s="26" t="str" cm="1">
        <f t="array" ref="H859">_xlfn.IFS(CallData[[#This Row],[Purchase Amount]]&lt;=50,"Low",CallData[[#This Row],[Purchase Amount]]&lt;=100,"Medium",CallData[[#This Row],[Purchase Amount]]&lt;=150,"High",CallData[[#This Row],[Purchase Amount]]&gt;150,"Very High")</f>
        <v>High</v>
      </c>
      <c r="I859" s="23">
        <v>3.9</v>
      </c>
      <c r="J859" s="23">
        <f>IF(MONTH('Call Data'!$F859)&lt;=6, YEAR('Call Data'!$F859), YEAR('Call Data'!$F859)+1)</f>
        <v>2024</v>
      </c>
      <c r="K859" s="23" t="str">
        <f>TEXT('Call Data'!$F859,"DDDD")</f>
        <v>Saturday</v>
      </c>
      <c r="L859" s="23" t="s">
        <v>27</v>
      </c>
      <c r="M859" s="23">
        <f>ROUND('Call Data'!$I859,0)</f>
        <v>4</v>
      </c>
    </row>
    <row r="860" spans="1:13" ht="14.25" customHeight="1" x14ac:dyDescent="0.35">
      <c r="A860" s="23" t="s">
        <v>894</v>
      </c>
      <c r="B860" s="23" t="s">
        <v>23</v>
      </c>
      <c r="C860" s="23">
        <v>72</v>
      </c>
      <c r="D860" s="24" t="str" cm="1">
        <f t="array" ref="D860">_xlfn.IFS(CallData[[#This Row],[Duration]]&lt;=15,"Very short",CallData[[#This Row],[Duration]]&lt;=30,"Short",CallData[[#This Row],[Duration]]&lt;=60,"Medium",CallData[[#This Row],[Duration]]&gt;60,"Long")</f>
        <v>Long</v>
      </c>
      <c r="E860" s="24" t="s">
        <v>24</v>
      </c>
      <c r="F860" s="25">
        <v>45220</v>
      </c>
      <c r="G860" s="26">
        <v>20</v>
      </c>
      <c r="H860" s="26" t="str" cm="1">
        <f t="array" ref="H860">_xlfn.IFS(CallData[[#This Row],[Purchase Amount]]&lt;=50,"Low",CallData[[#This Row],[Purchase Amount]]&lt;=100,"Medium",CallData[[#This Row],[Purchase Amount]]&lt;=150,"High",CallData[[#This Row],[Purchase Amount]]&gt;150,"Very High")</f>
        <v>Low</v>
      </c>
      <c r="I860" s="23">
        <v>4.8</v>
      </c>
      <c r="J860" s="23">
        <f>IF(MONTH('Call Data'!$F860)&lt;=6, YEAR('Call Data'!$F860), YEAR('Call Data'!$F860)+1)</f>
        <v>2024</v>
      </c>
      <c r="K860" s="23" t="str">
        <f>TEXT('Call Data'!$F860,"DDDD")</f>
        <v>Saturday</v>
      </c>
      <c r="L860" s="23" t="s">
        <v>14</v>
      </c>
      <c r="M860" s="23">
        <f>ROUND('Call Data'!$I860,0)</f>
        <v>5</v>
      </c>
    </row>
    <row r="861" spans="1:13" ht="14.25" customHeight="1" x14ac:dyDescent="0.35">
      <c r="A861" s="23" t="s">
        <v>895</v>
      </c>
      <c r="B861" s="23" t="s">
        <v>58</v>
      </c>
      <c r="C861" s="23">
        <v>40</v>
      </c>
      <c r="D861" s="24" t="str" cm="1">
        <f t="array" ref="D861">_xlfn.IFS(CallData[[#This Row],[Duration]]&lt;=15,"Very short",CallData[[#This Row],[Duration]]&lt;=30,"Short",CallData[[#This Row],[Duration]]&lt;=60,"Medium",CallData[[#This Row],[Duration]]&gt;60,"Long")</f>
        <v>Medium</v>
      </c>
      <c r="E861" s="24" t="s">
        <v>24</v>
      </c>
      <c r="F861" s="25">
        <v>45220</v>
      </c>
      <c r="G861" s="26">
        <v>31</v>
      </c>
      <c r="H861" s="26" t="str" cm="1">
        <f t="array" ref="H861">_xlfn.IFS(CallData[[#This Row],[Purchase Amount]]&lt;=50,"Low",CallData[[#This Row],[Purchase Amount]]&lt;=100,"Medium",CallData[[#This Row],[Purchase Amount]]&lt;=150,"High",CallData[[#This Row],[Purchase Amount]]&gt;150,"Very High")</f>
        <v>Low</v>
      </c>
      <c r="I861" s="23">
        <v>4</v>
      </c>
      <c r="J861" s="23">
        <f>IF(MONTH('Call Data'!$F861)&lt;=6, YEAR('Call Data'!$F861), YEAR('Call Data'!$F861)+1)</f>
        <v>2024</v>
      </c>
      <c r="K861" s="23" t="str">
        <f>TEXT('Call Data'!$F861,"DDDD")</f>
        <v>Saturday</v>
      </c>
      <c r="L861" s="23" t="s">
        <v>27</v>
      </c>
      <c r="M861" s="23">
        <f>ROUND('Call Data'!$I861,0)</f>
        <v>4</v>
      </c>
    </row>
    <row r="862" spans="1:13" ht="14.25" customHeight="1" x14ac:dyDescent="0.35">
      <c r="A862" s="23" t="s">
        <v>896</v>
      </c>
      <c r="B862" s="23" t="s">
        <v>88</v>
      </c>
      <c r="C862" s="23">
        <v>54</v>
      </c>
      <c r="D862" s="24" t="str" cm="1">
        <f t="array" ref="D862">_xlfn.IFS(CallData[[#This Row],[Duration]]&lt;=15,"Very short",CallData[[#This Row],[Duration]]&lt;=30,"Short",CallData[[#This Row],[Duration]]&lt;=60,"Medium",CallData[[#This Row],[Duration]]&gt;60,"Long")</f>
        <v>Medium</v>
      </c>
      <c r="E862" s="24" t="s">
        <v>31</v>
      </c>
      <c r="F862" s="25">
        <v>45221</v>
      </c>
      <c r="G862" s="26">
        <v>120</v>
      </c>
      <c r="H862" s="26" t="str" cm="1">
        <f t="array" ref="H862">_xlfn.IFS(CallData[[#This Row],[Purchase Amount]]&lt;=50,"Low",CallData[[#This Row],[Purchase Amount]]&lt;=100,"Medium",CallData[[#This Row],[Purchase Amount]]&lt;=150,"High",CallData[[#This Row],[Purchase Amount]]&gt;150,"Very High")</f>
        <v>High</v>
      </c>
      <c r="I862" s="23">
        <v>4.7</v>
      </c>
      <c r="J862" s="23">
        <f>IF(MONTH('Call Data'!$F862)&lt;=6, YEAR('Call Data'!$F862), YEAR('Call Data'!$F862)+1)</f>
        <v>2024</v>
      </c>
      <c r="K862" s="23" t="str">
        <f>TEXT('Call Data'!$F862,"DDDD")</f>
        <v>Sunday</v>
      </c>
      <c r="L862" s="23" t="s">
        <v>27</v>
      </c>
      <c r="M862" s="23">
        <f>ROUND('Call Data'!$I862,0)</f>
        <v>5</v>
      </c>
    </row>
    <row r="863" spans="1:13" ht="14.25" customHeight="1" x14ac:dyDescent="0.35">
      <c r="A863" s="23" t="s">
        <v>897</v>
      </c>
      <c r="B863" s="23" t="s">
        <v>16</v>
      </c>
      <c r="C863" s="23">
        <v>81</v>
      </c>
      <c r="D863" s="24" t="str" cm="1">
        <f t="array" ref="D863">_xlfn.IFS(CallData[[#This Row],[Duration]]&lt;=15,"Very short",CallData[[#This Row],[Duration]]&lt;=30,"Short",CallData[[#This Row],[Duration]]&lt;=60,"Medium",CallData[[#This Row],[Duration]]&gt;60,"Long")</f>
        <v>Long</v>
      </c>
      <c r="E863" s="24" t="s">
        <v>19</v>
      </c>
      <c r="F863" s="25">
        <v>45221</v>
      </c>
      <c r="G863" s="26">
        <v>117</v>
      </c>
      <c r="H863" s="26" t="str" cm="1">
        <f t="array" ref="H863">_xlfn.IFS(CallData[[#This Row],[Purchase Amount]]&lt;=50,"Low",CallData[[#This Row],[Purchase Amount]]&lt;=100,"Medium",CallData[[#This Row],[Purchase Amount]]&lt;=150,"High",CallData[[#This Row],[Purchase Amount]]&gt;150,"Very High")</f>
        <v>High</v>
      </c>
      <c r="I863" s="23">
        <v>3.6</v>
      </c>
      <c r="J863" s="23">
        <f>IF(MONTH('Call Data'!$F863)&lt;=6, YEAR('Call Data'!$F863), YEAR('Call Data'!$F863)+1)</f>
        <v>2024</v>
      </c>
      <c r="K863" s="23" t="str">
        <f>TEXT('Call Data'!$F863,"DDDD")</f>
        <v>Sunday</v>
      </c>
      <c r="L863" s="23" t="s">
        <v>14</v>
      </c>
      <c r="M863" s="23">
        <f>ROUND('Call Data'!$I863,0)</f>
        <v>4</v>
      </c>
    </row>
    <row r="864" spans="1:13" ht="14.25" customHeight="1" x14ac:dyDescent="0.35">
      <c r="A864" s="23" t="s">
        <v>898</v>
      </c>
      <c r="B864" s="23" t="s">
        <v>88</v>
      </c>
      <c r="C864" s="23">
        <v>76</v>
      </c>
      <c r="D864" s="24" t="str" cm="1">
        <f t="array" ref="D864">_xlfn.IFS(CallData[[#This Row],[Duration]]&lt;=15,"Very short",CallData[[#This Row],[Duration]]&lt;=30,"Short",CallData[[#This Row],[Duration]]&lt;=60,"Medium",CallData[[#This Row],[Duration]]&gt;60,"Long")</f>
        <v>Long</v>
      </c>
      <c r="E864" s="24" t="s">
        <v>35</v>
      </c>
      <c r="F864" s="25">
        <v>45221</v>
      </c>
      <c r="G864" s="26">
        <v>80</v>
      </c>
      <c r="H864" s="26" t="str" cm="1">
        <f t="array" ref="H864">_xlfn.IFS(CallData[[#This Row],[Purchase Amount]]&lt;=50,"Low",CallData[[#This Row],[Purchase Amount]]&lt;=100,"Medium",CallData[[#This Row],[Purchase Amount]]&lt;=150,"High",CallData[[#This Row],[Purchase Amount]]&gt;150,"Very High")</f>
        <v>Medium</v>
      </c>
      <c r="I864" s="23">
        <v>4.5</v>
      </c>
      <c r="J864" s="23">
        <f>IF(MONTH('Call Data'!$F864)&lt;=6, YEAR('Call Data'!$F864), YEAR('Call Data'!$F864)+1)</f>
        <v>2024</v>
      </c>
      <c r="K864" s="23" t="str">
        <f>TEXT('Call Data'!$F864,"DDDD")</f>
        <v>Sunday</v>
      </c>
      <c r="L864" s="23" t="s">
        <v>14</v>
      </c>
      <c r="M864" s="23">
        <f>ROUND('Call Data'!$I864,0)</f>
        <v>5</v>
      </c>
    </row>
    <row r="865" spans="1:13" ht="14.25" customHeight="1" x14ac:dyDescent="0.35">
      <c r="A865" s="23" t="s">
        <v>899</v>
      </c>
      <c r="B865" s="23" t="s">
        <v>88</v>
      </c>
      <c r="C865" s="23">
        <v>37</v>
      </c>
      <c r="D865" s="24" t="str" cm="1">
        <f t="array" ref="D865">_xlfn.IFS(CallData[[#This Row],[Duration]]&lt;=15,"Very short",CallData[[#This Row],[Duration]]&lt;=30,"Short",CallData[[#This Row],[Duration]]&lt;=60,"Medium",CallData[[#This Row],[Duration]]&gt;60,"Long")</f>
        <v>Medium</v>
      </c>
      <c r="E865" s="24" t="s">
        <v>13</v>
      </c>
      <c r="F865" s="25">
        <v>45222</v>
      </c>
      <c r="G865" s="26">
        <v>117</v>
      </c>
      <c r="H865" s="26" t="str" cm="1">
        <f t="array" ref="H865">_xlfn.IFS(CallData[[#This Row],[Purchase Amount]]&lt;=50,"Low",CallData[[#This Row],[Purchase Amount]]&lt;=100,"Medium",CallData[[#This Row],[Purchase Amount]]&lt;=150,"High",CallData[[#This Row],[Purchase Amount]]&gt;150,"Very High")</f>
        <v>High</v>
      </c>
      <c r="I865" s="23">
        <v>4</v>
      </c>
      <c r="J865" s="23">
        <f>IF(MONTH('Call Data'!$F865)&lt;=6, YEAR('Call Data'!$F865), YEAR('Call Data'!$F865)+1)</f>
        <v>2024</v>
      </c>
      <c r="K865" s="23" t="str">
        <f>TEXT('Call Data'!$F865,"DDDD")</f>
        <v>Monday</v>
      </c>
      <c r="L865" s="23" t="s">
        <v>27</v>
      </c>
      <c r="M865" s="23">
        <f>ROUND('Call Data'!$I865,0)</f>
        <v>4</v>
      </c>
    </row>
    <row r="866" spans="1:13" ht="14.25" customHeight="1" x14ac:dyDescent="0.35">
      <c r="A866" s="23" t="s">
        <v>900</v>
      </c>
      <c r="B866" s="23" t="s">
        <v>40</v>
      </c>
      <c r="C866" s="23">
        <v>96</v>
      </c>
      <c r="D866" s="24" t="str" cm="1">
        <f t="array" ref="D866">_xlfn.IFS(CallData[[#This Row],[Duration]]&lt;=15,"Very short",CallData[[#This Row],[Duration]]&lt;=30,"Short",CallData[[#This Row],[Duration]]&lt;=60,"Medium",CallData[[#This Row],[Duration]]&gt;60,"Long")</f>
        <v>Long</v>
      </c>
      <c r="E866" s="24" t="s">
        <v>31</v>
      </c>
      <c r="F866" s="25">
        <v>45222</v>
      </c>
      <c r="G866" s="26">
        <v>60</v>
      </c>
      <c r="H866" s="26" t="str" cm="1">
        <f t="array" ref="H866">_xlfn.IFS(CallData[[#This Row],[Purchase Amount]]&lt;=50,"Low",CallData[[#This Row],[Purchase Amount]]&lt;=100,"Medium",CallData[[#This Row],[Purchase Amount]]&lt;=150,"High",CallData[[#This Row],[Purchase Amount]]&gt;150,"Very High")</f>
        <v>Medium</v>
      </c>
      <c r="I866" s="23">
        <v>4.5</v>
      </c>
      <c r="J866" s="23">
        <f>IF(MONTH('Call Data'!$F866)&lt;=6, YEAR('Call Data'!$F866), YEAR('Call Data'!$F866)+1)</f>
        <v>2024</v>
      </c>
      <c r="K866" s="23" t="str">
        <f>TEXT('Call Data'!$F866,"DDDD")</f>
        <v>Monday</v>
      </c>
      <c r="L866" s="23" t="s">
        <v>14</v>
      </c>
      <c r="M866" s="23">
        <f>ROUND('Call Data'!$I866,0)</f>
        <v>5</v>
      </c>
    </row>
    <row r="867" spans="1:13" ht="14.25" customHeight="1" x14ac:dyDescent="0.35">
      <c r="A867" s="23" t="s">
        <v>901</v>
      </c>
      <c r="B867" s="23" t="s">
        <v>23</v>
      </c>
      <c r="C867" s="23">
        <v>19</v>
      </c>
      <c r="D867" s="24" t="str" cm="1">
        <f t="array" ref="D867">_xlfn.IFS(CallData[[#This Row],[Duration]]&lt;=15,"Very short",CallData[[#This Row],[Duration]]&lt;=30,"Short",CallData[[#This Row],[Duration]]&lt;=60,"Medium",CallData[[#This Row],[Duration]]&gt;60,"Long")</f>
        <v>Short</v>
      </c>
      <c r="E867" s="24" t="s">
        <v>35</v>
      </c>
      <c r="F867" s="25">
        <v>45223</v>
      </c>
      <c r="G867" s="26">
        <v>58</v>
      </c>
      <c r="H867" s="26" t="str" cm="1">
        <f t="array" ref="H867">_xlfn.IFS(CallData[[#This Row],[Purchase Amount]]&lt;=50,"Low",CallData[[#This Row],[Purchase Amount]]&lt;=100,"Medium",CallData[[#This Row],[Purchase Amount]]&lt;=150,"High",CallData[[#This Row],[Purchase Amount]]&gt;150,"Very High")</f>
        <v>Medium</v>
      </c>
      <c r="I867" s="23">
        <v>3.9</v>
      </c>
      <c r="J867" s="23">
        <f>IF(MONTH('Call Data'!$F867)&lt;=6, YEAR('Call Data'!$F867), YEAR('Call Data'!$F867)+1)</f>
        <v>2024</v>
      </c>
      <c r="K867" s="23" t="str">
        <f>TEXT('Call Data'!$F867,"DDDD")</f>
        <v>Tuesday</v>
      </c>
      <c r="L867" s="23" t="s">
        <v>47</v>
      </c>
      <c r="M867" s="23">
        <f>ROUND('Call Data'!$I867,0)</f>
        <v>4</v>
      </c>
    </row>
    <row r="868" spans="1:13" ht="14.25" customHeight="1" x14ac:dyDescent="0.35">
      <c r="A868" s="23" t="s">
        <v>902</v>
      </c>
      <c r="B868" s="23" t="s">
        <v>58</v>
      </c>
      <c r="C868" s="23">
        <v>72</v>
      </c>
      <c r="D868" s="24" t="str" cm="1">
        <f t="array" ref="D868">_xlfn.IFS(CallData[[#This Row],[Duration]]&lt;=15,"Very short",CallData[[#This Row],[Duration]]&lt;=30,"Short",CallData[[#This Row],[Duration]]&lt;=60,"Medium",CallData[[#This Row],[Duration]]&gt;60,"Long")</f>
        <v>Long</v>
      </c>
      <c r="E868" s="24" t="s">
        <v>13</v>
      </c>
      <c r="F868" s="25">
        <v>45223</v>
      </c>
      <c r="G868" s="26">
        <v>41</v>
      </c>
      <c r="H868" s="26" t="str" cm="1">
        <f t="array" ref="H868">_xlfn.IFS(CallData[[#This Row],[Purchase Amount]]&lt;=50,"Low",CallData[[#This Row],[Purchase Amount]]&lt;=100,"Medium",CallData[[#This Row],[Purchase Amount]]&lt;=150,"High",CallData[[#This Row],[Purchase Amount]]&gt;150,"Very High")</f>
        <v>Low</v>
      </c>
      <c r="I868" s="23">
        <v>4.3</v>
      </c>
      <c r="J868" s="23">
        <f>IF(MONTH('Call Data'!$F868)&lt;=6, YEAR('Call Data'!$F868), YEAR('Call Data'!$F868)+1)</f>
        <v>2024</v>
      </c>
      <c r="K868" s="23" t="str">
        <f>TEXT('Call Data'!$F868,"DDDD")</f>
        <v>Tuesday</v>
      </c>
      <c r="L868" s="23" t="s">
        <v>14</v>
      </c>
      <c r="M868" s="23">
        <f>ROUND('Call Data'!$I868,0)</f>
        <v>4</v>
      </c>
    </row>
    <row r="869" spans="1:13" ht="14.25" customHeight="1" x14ac:dyDescent="0.35">
      <c r="A869" s="23" t="s">
        <v>903</v>
      </c>
      <c r="B869" s="23" t="s">
        <v>21</v>
      </c>
      <c r="C869" s="23">
        <v>73</v>
      </c>
      <c r="D869" s="24" t="str" cm="1">
        <f t="array" ref="D869">_xlfn.IFS(CallData[[#This Row],[Duration]]&lt;=15,"Very short",CallData[[#This Row],[Duration]]&lt;=30,"Short",CallData[[#This Row],[Duration]]&lt;=60,"Medium",CallData[[#This Row],[Duration]]&gt;60,"Long")</f>
        <v>Long</v>
      </c>
      <c r="E869" s="24" t="s">
        <v>19</v>
      </c>
      <c r="F869" s="25">
        <v>45223</v>
      </c>
      <c r="G869" s="26">
        <v>180</v>
      </c>
      <c r="H869" s="26" t="str" cm="1">
        <f t="array" ref="H869">_xlfn.IFS(CallData[[#This Row],[Purchase Amount]]&lt;=50,"Low",CallData[[#This Row],[Purchase Amount]]&lt;=100,"Medium",CallData[[#This Row],[Purchase Amount]]&lt;=150,"High",CallData[[#This Row],[Purchase Amount]]&gt;150,"Very High")</f>
        <v>Very High</v>
      </c>
      <c r="I869" s="23">
        <v>3.6</v>
      </c>
      <c r="J869" s="23">
        <f>IF(MONTH('Call Data'!$F869)&lt;=6, YEAR('Call Data'!$F869), YEAR('Call Data'!$F869)+1)</f>
        <v>2024</v>
      </c>
      <c r="K869" s="23" t="str">
        <f>TEXT('Call Data'!$F869,"DDDD")</f>
        <v>Tuesday</v>
      </c>
      <c r="L869" s="23" t="s">
        <v>14</v>
      </c>
      <c r="M869" s="23">
        <f>ROUND('Call Data'!$I869,0)</f>
        <v>4</v>
      </c>
    </row>
    <row r="870" spans="1:13" ht="14.25" customHeight="1" x14ac:dyDescent="0.35">
      <c r="A870" s="23" t="s">
        <v>904</v>
      </c>
      <c r="B870" s="23" t="s">
        <v>68</v>
      </c>
      <c r="C870" s="23">
        <v>87</v>
      </c>
      <c r="D870" s="24" t="str" cm="1">
        <f t="array" ref="D870">_xlfn.IFS(CallData[[#This Row],[Duration]]&lt;=15,"Very short",CallData[[#This Row],[Duration]]&lt;=30,"Short",CallData[[#This Row],[Duration]]&lt;=60,"Medium",CallData[[#This Row],[Duration]]&gt;60,"Long")</f>
        <v>Long</v>
      </c>
      <c r="E870" s="24" t="s">
        <v>19</v>
      </c>
      <c r="F870" s="25">
        <v>45223</v>
      </c>
      <c r="G870" s="26">
        <v>42</v>
      </c>
      <c r="H870" s="26" t="str" cm="1">
        <f t="array" ref="H870">_xlfn.IFS(CallData[[#This Row],[Purchase Amount]]&lt;=50,"Low",CallData[[#This Row],[Purchase Amount]]&lt;=100,"Medium",CallData[[#This Row],[Purchase Amount]]&lt;=150,"High",CallData[[#This Row],[Purchase Amount]]&gt;150,"Very High")</f>
        <v>Low</v>
      </c>
      <c r="I870" s="23">
        <v>3.6</v>
      </c>
      <c r="J870" s="23">
        <f>IF(MONTH('Call Data'!$F870)&lt;=6, YEAR('Call Data'!$F870), YEAR('Call Data'!$F870)+1)</f>
        <v>2024</v>
      </c>
      <c r="K870" s="23" t="str">
        <f>TEXT('Call Data'!$F870,"DDDD")</f>
        <v>Tuesday</v>
      </c>
      <c r="L870" s="23" t="s">
        <v>14</v>
      </c>
      <c r="M870" s="23">
        <f>ROUND('Call Data'!$I870,0)</f>
        <v>4</v>
      </c>
    </row>
    <row r="871" spans="1:13" ht="14.25" customHeight="1" x14ac:dyDescent="0.35">
      <c r="A871" s="23" t="s">
        <v>905</v>
      </c>
      <c r="B871" s="23" t="s">
        <v>68</v>
      </c>
      <c r="C871" s="23">
        <v>68</v>
      </c>
      <c r="D871" s="24" t="str" cm="1">
        <f t="array" ref="D871">_xlfn.IFS(CallData[[#This Row],[Duration]]&lt;=15,"Very short",CallData[[#This Row],[Duration]]&lt;=30,"Short",CallData[[#This Row],[Duration]]&lt;=60,"Medium",CallData[[#This Row],[Duration]]&gt;60,"Long")</f>
        <v>Long</v>
      </c>
      <c r="E871" s="24" t="s">
        <v>19</v>
      </c>
      <c r="F871" s="25">
        <v>45224</v>
      </c>
      <c r="G871" s="26">
        <v>24</v>
      </c>
      <c r="H871" s="26" t="str" cm="1">
        <f t="array" ref="H871">_xlfn.IFS(CallData[[#This Row],[Purchase Amount]]&lt;=50,"Low",CallData[[#This Row],[Purchase Amount]]&lt;=100,"Medium",CallData[[#This Row],[Purchase Amount]]&lt;=150,"High",CallData[[#This Row],[Purchase Amount]]&gt;150,"Very High")</f>
        <v>Low</v>
      </c>
      <c r="I871" s="23">
        <v>4</v>
      </c>
      <c r="J871" s="23">
        <f>IF(MONTH('Call Data'!$F871)&lt;=6, YEAR('Call Data'!$F871), YEAR('Call Data'!$F871)+1)</f>
        <v>2024</v>
      </c>
      <c r="K871" s="23" t="str">
        <f>TEXT('Call Data'!$F871,"DDDD")</f>
        <v>Wednesday</v>
      </c>
      <c r="L871" s="23" t="s">
        <v>14</v>
      </c>
      <c r="M871" s="23">
        <f>ROUND('Call Data'!$I871,0)</f>
        <v>4</v>
      </c>
    </row>
    <row r="872" spans="1:13" ht="14.25" customHeight="1" x14ac:dyDescent="0.35">
      <c r="A872" s="23" t="s">
        <v>906</v>
      </c>
      <c r="B872" s="23" t="s">
        <v>58</v>
      </c>
      <c r="C872" s="23">
        <v>101</v>
      </c>
      <c r="D872" s="24" t="str" cm="1">
        <f t="array" ref="D872">_xlfn.IFS(CallData[[#This Row],[Duration]]&lt;=15,"Very short",CallData[[#This Row],[Duration]]&lt;=30,"Short",CallData[[#This Row],[Duration]]&lt;=60,"Medium",CallData[[#This Row],[Duration]]&gt;60,"Long")</f>
        <v>Long</v>
      </c>
      <c r="E872" s="24" t="s">
        <v>19</v>
      </c>
      <c r="F872" s="25">
        <v>45224</v>
      </c>
      <c r="G872" s="26">
        <v>125</v>
      </c>
      <c r="H872" s="26" t="str" cm="1">
        <f t="array" ref="H872">_xlfn.IFS(CallData[[#This Row],[Purchase Amount]]&lt;=50,"Low",CallData[[#This Row],[Purchase Amount]]&lt;=100,"Medium",CallData[[#This Row],[Purchase Amount]]&lt;=150,"High",CallData[[#This Row],[Purchase Amount]]&gt;150,"Very High")</f>
        <v>High</v>
      </c>
      <c r="I872" s="23">
        <v>4.2</v>
      </c>
      <c r="J872" s="23">
        <f>IF(MONTH('Call Data'!$F872)&lt;=6, YEAR('Call Data'!$F872), YEAR('Call Data'!$F872)+1)</f>
        <v>2024</v>
      </c>
      <c r="K872" s="23" t="str">
        <f>TEXT('Call Data'!$F872,"DDDD")</f>
        <v>Wednesday</v>
      </c>
      <c r="L872" s="23" t="s">
        <v>14</v>
      </c>
      <c r="M872" s="23">
        <f>ROUND('Call Data'!$I872,0)</f>
        <v>4</v>
      </c>
    </row>
    <row r="873" spans="1:13" ht="14.25" customHeight="1" x14ac:dyDescent="0.35">
      <c r="A873" s="23" t="s">
        <v>907</v>
      </c>
      <c r="B873" s="23" t="s">
        <v>58</v>
      </c>
      <c r="C873" s="23">
        <v>107</v>
      </c>
      <c r="D873" s="24" t="str" cm="1">
        <f t="array" ref="D873">_xlfn.IFS(CallData[[#This Row],[Duration]]&lt;=15,"Very short",CallData[[#This Row],[Duration]]&lt;=30,"Short",CallData[[#This Row],[Duration]]&lt;=60,"Medium",CallData[[#This Row],[Duration]]&gt;60,"Long")</f>
        <v>Long</v>
      </c>
      <c r="E873" s="24" t="s">
        <v>13</v>
      </c>
      <c r="F873" s="25">
        <v>45225</v>
      </c>
      <c r="G873" s="26">
        <v>78</v>
      </c>
      <c r="H873" s="26" t="str" cm="1">
        <f t="array" ref="H873">_xlfn.IFS(CallData[[#This Row],[Purchase Amount]]&lt;=50,"Low",CallData[[#This Row],[Purchase Amount]]&lt;=100,"Medium",CallData[[#This Row],[Purchase Amount]]&lt;=150,"High",CallData[[#This Row],[Purchase Amount]]&gt;150,"Very High")</f>
        <v>Medium</v>
      </c>
      <c r="I873" s="23">
        <v>4.3</v>
      </c>
      <c r="J873" s="23">
        <f>IF(MONTH('Call Data'!$F873)&lt;=6, YEAR('Call Data'!$F873), YEAR('Call Data'!$F873)+1)</f>
        <v>2024</v>
      </c>
      <c r="K873" s="23" t="str">
        <f>TEXT('Call Data'!$F873,"DDDD")</f>
        <v>Thursday</v>
      </c>
      <c r="L873" s="23" t="s">
        <v>14</v>
      </c>
      <c r="M873" s="23">
        <f>ROUND('Call Data'!$I873,0)</f>
        <v>4</v>
      </c>
    </row>
    <row r="874" spans="1:13" ht="14.25" customHeight="1" x14ac:dyDescent="0.35">
      <c r="A874" s="23" t="s">
        <v>908</v>
      </c>
      <c r="B874" s="23" t="s">
        <v>46</v>
      </c>
      <c r="C874" s="23">
        <v>109</v>
      </c>
      <c r="D874" s="24" t="str" cm="1">
        <f t="array" ref="D874">_xlfn.IFS(CallData[[#This Row],[Duration]]&lt;=15,"Very short",CallData[[#This Row],[Duration]]&lt;=30,"Short",CallData[[#This Row],[Duration]]&lt;=60,"Medium",CallData[[#This Row],[Duration]]&gt;60,"Long")</f>
        <v>Long</v>
      </c>
      <c r="E874" s="24" t="s">
        <v>24</v>
      </c>
      <c r="F874" s="25">
        <v>45225</v>
      </c>
      <c r="G874" s="26">
        <v>180</v>
      </c>
      <c r="H874" s="26" t="str" cm="1">
        <f t="array" ref="H874">_xlfn.IFS(CallData[[#This Row],[Purchase Amount]]&lt;=50,"Low",CallData[[#This Row],[Purchase Amount]]&lt;=100,"Medium",CallData[[#This Row],[Purchase Amount]]&lt;=150,"High",CallData[[#This Row],[Purchase Amount]]&gt;150,"Very High")</f>
        <v>Very High</v>
      </c>
      <c r="I874" s="23">
        <v>3.8</v>
      </c>
      <c r="J874" s="23">
        <f>IF(MONTH('Call Data'!$F874)&lt;=6, YEAR('Call Data'!$F874), YEAR('Call Data'!$F874)+1)</f>
        <v>2024</v>
      </c>
      <c r="K874" s="23" t="str">
        <f>TEXT('Call Data'!$F874,"DDDD")</f>
        <v>Thursday</v>
      </c>
      <c r="L874" s="23" t="s">
        <v>14</v>
      </c>
      <c r="M874" s="23">
        <f>ROUND('Call Data'!$I874,0)</f>
        <v>4</v>
      </c>
    </row>
    <row r="875" spans="1:13" ht="14.25" customHeight="1" x14ac:dyDescent="0.35">
      <c r="A875" s="23" t="s">
        <v>909</v>
      </c>
      <c r="B875" s="23" t="s">
        <v>38</v>
      </c>
      <c r="C875" s="23">
        <v>171</v>
      </c>
      <c r="D875" s="24" t="str" cm="1">
        <f t="array" ref="D875">_xlfn.IFS(CallData[[#This Row],[Duration]]&lt;=15,"Very short",CallData[[#This Row],[Duration]]&lt;=30,"Short",CallData[[#This Row],[Duration]]&lt;=60,"Medium",CallData[[#This Row],[Duration]]&gt;60,"Long")</f>
        <v>Long</v>
      </c>
      <c r="E875" s="24" t="s">
        <v>13</v>
      </c>
      <c r="F875" s="25">
        <v>45225</v>
      </c>
      <c r="G875" s="26">
        <v>84</v>
      </c>
      <c r="H875" s="26" t="str" cm="1">
        <f t="array" ref="H875">_xlfn.IFS(CallData[[#This Row],[Purchase Amount]]&lt;=50,"Low",CallData[[#This Row],[Purchase Amount]]&lt;=100,"Medium",CallData[[#This Row],[Purchase Amount]]&lt;=150,"High",CallData[[#This Row],[Purchase Amount]]&gt;150,"Very High")</f>
        <v>Medium</v>
      </c>
      <c r="I875" s="23">
        <v>4.4000000000000004</v>
      </c>
      <c r="J875" s="23">
        <f>IF(MONTH('Call Data'!$F875)&lt;=6, YEAR('Call Data'!$F875), YEAR('Call Data'!$F875)+1)</f>
        <v>2024</v>
      </c>
      <c r="K875" s="23" t="str">
        <f>TEXT('Call Data'!$F875,"DDDD")</f>
        <v>Thursday</v>
      </c>
      <c r="L875" s="23" t="s">
        <v>25</v>
      </c>
      <c r="M875" s="23">
        <f>ROUND('Call Data'!$I875,0)</f>
        <v>4</v>
      </c>
    </row>
    <row r="876" spans="1:13" ht="14.25" customHeight="1" x14ac:dyDescent="0.35">
      <c r="A876" s="23" t="s">
        <v>910</v>
      </c>
      <c r="B876" s="23" t="s">
        <v>23</v>
      </c>
      <c r="C876" s="23">
        <v>21</v>
      </c>
      <c r="D876" s="24" t="str" cm="1">
        <f t="array" ref="D876">_xlfn.IFS(CallData[[#This Row],[Duration]]&lt;=15,"Very short",CallData[[#This Row],[Duration]]&lt;=30,"Short",CallData[[#This Row],[Duration]]&lt;=60,"Medium",CallData[[#This Row],[Duration]]&gt;60,"Long")</f>
        <v>Short</v>
      </c>
      <c r="E876" s="24" t="s">
        <v>13</v>
      </c>
      <c r="F876" s="25">
        <v>45225</v>
      </c>
      <c r="G876" s="26">
        <v>26</v>
      </c>
      <c r="H876" s="26" t="str" cm="1">
        <f t="array" ref="H876">_xlfn.IFS(CallData[[#This Row],[Purchase Amount]]&lt;=50,"Low",CallData[[#This Row],[Purchase Amount]]&lt;=100,"Medium",CallData[[#This Row],[Purchase Amount]]&lt;=150,"High",CallData[[#This Row],[Purchase Amount]]&gt;150,"Very High")</f>
        <v>Low</v>
      </c>
      <c r="I876" s="23">
        <v>4.7</v>
      </c>
      <c r="J876" s="23">
        <f>IF(MONTH('Call Data'!$F876)&lt;=6, YEAR('Call Data'!$F876), YEAR('Call Data'!$F876)+1)</f>
        <v>2024</v>
      </c>
      <c r="K876" s="23" t="str">
        <f>TEXT('Call Data'!$F876,"DDDD")</f>
        <v>Thursday</v>
      </c>
      <c r="L876" s="23" t="s">
        <v>47</v>
      </c>
      <c r="M876" s="23">
        <f>ROUND('Call Data'!$I876,0)</f>
        <v>5</v>
      </c>
    </row>
    <row r="877" spans="1:13" ht="14.25" customHeight="1" x14ac:dyDescent="0.35">
      <c r="A877" s="23" t="s">
        <v>911</v>
      </c>
      <c r="B877" s="23" t="s">
        <v>16</v>
      </c>
      <c r="C877" s="23">
        <v>94</v>
      </c>
      <c r="D877" s="24" t="str" cm="1">
        <f t="array" ref="D877">_xlfn.IFS(CallData[[#This Row],[Duration]]&lt;=15,"Very short",CallData[[#This Row],[Duration]]&lt;=30,"Short",CallData[[#This Row],[Duration]]&lt;=60,"Medium",CallData[[#This Row],[Duration]]&gt;60,"Long")</f>
        <v>Long</v>
      </c>
      <c r="E877" s="24" t="s">
        <v>13</v>
      </c>
      <c r="F877" s="25">
        <v>45226</v>
      </c>
      <c r="G877" s="26">
        <v>140</v>
      </c>
      <c r="H877" s="26" t="str" cm="1">
        <f t="array" ref="H877">_xlfn.IFS(CallData[[#This Row],[Purchase Amount]]&lt;=50,"Low",CallData[[#This Row],[Purchase Amount]]&lt;=100,"Medium",CallData[[#This Row],[Purchase Amount]]&lt;=150,"High",CallData[[#This Row],[Purchase Amount]]&gt;150,"Very High")</f>
        <v>High</v>
      </c>
      <c r="I877" s="23">
        <v>3.6</v>
      </c>
      <c r="J877" s="23">
        <f>IF(MONTH('Call Data'!$F877)&lt;=6, YEAR('Call Data'!$F877), YEAR('Call Data'!$F877)+1)</f>
        <v>2024</v>
      </c>
      <c r="K877" s="23" t="str">
        <f>TEXT('Call Data'!$F877,"DDDD")</f>
        <v>Friday</v>
      </c>
      <c r="L877" s="23" t="s">
        <v>14</v>
      </c>
      <c r="M877" s="23">
        <f>ROUND('Call Data'!$I877,0)</f>
        <v>4</v>
      </c>
    </row>
    <row r="878" spans="1:13" ht="14.25" customHeight="1" x14ac:dyDescent="0.35">
      <c r="A878" s="23" t="s">
        <v>912</v>
      </c>
      <c r="B878" s="23" t="s">
        <v>21</v>
      </c>
      <c r="C878" s="23">
        <v>97</v>
      </c>
      <c r="D878" s="24" t="str" cm="1">
        <f t="array" ref="D878">_xlfn.IFS(CallData[[#This Row],[Duration]]&lt;=15,"Very short",CallData[[#This Row],[Duration]]&lt;=30,"Short",CallData[[#This Row],[Duration]]&lt;=60,"Medium",CallData[[#This Row],[Duration]]&gt;60,"Long")</f>
        <v>Long</v>
      </c>
      <c r="E878" s="24" t="s">
        <v>24</v>
      </c>
      <c r="F878" s="25">
        <v>45226</v>
      </c>
      <c r="G878" s="26">
        <v>31</v>
      </c>
      <c r="H878" s="26" t="str" cm="1">
        <f t="array" ref="H878">_xlfn.IFS(CallData[[#This Row],[Purchase Amount]]&lt;=50,"Low",CallData[[#This Row],[Purchase Amount]]&lt;=100,"Medium",CallData[[#This Row],[Purchase Amount]]&lt;=150,"High",CallData[[#This Row],[Purchase Amount]]&gt;150,"Very High")</f>
        <v>Low</v>
      </c>
      <c r="I878" s="23">
        <v>2.2000000000000002</v>
      </c>
      <c r="J878" s="23">
        <f>IF(MONTH('Call Data'!$F878)&lt;=6, YEAR('Call Data'!$F878), YEAR('Call Data'!$F878)+1)</f>
        <v>2024</v>
      </c>
      <c r="K878" s="23" t="str">
        <f>TEXT('Call Data'!$F878,"DDDD")</f>
        <v>Friday</v>
      </c>
      <c r="L878" s="23" t="s">
        <v>14</v>
      </c>
      <c r="M878" s="23">
        <f>ROUND('Call Data'!$I878,0)</f>
        <v>2</v>
      </c>
    </row>
    <row r="879" spans="1:13" ht="14.25" customHeight="1" x14ac:dyDescent="0.35">
      <c r="A879" s="23" t="s">
        <v>913</v>
      </c>
      <c r="B879" s="23" t="s">
        <v>40</v>
      </c>
      <c r="C879" s="23">
        <v>72</v>
      </c>
      <c r="D879" s="24" t="str" cm="1">
        <f t="array" ref="D879">_xlfn.IFS(CallData[[#This Row],[Duration]]&lt;=15,"Very short",CallData[[#This Row],[Duration]]&lt;=30,"Short",CallData[[#This Row],[Duration]]&lt;=60,"Medium",CallData[[#This Row],[Duration]]&gt;60,"Long")</f>
        <v>Long</v>
      </c>
      <c r="E879" s="24" t="s">
        <v>24</v>
      </c>
      <c r="F879" s="25">
        <v>45226</v>
      </c>
      <c r="G879" s="26">
        <v>108</v>
      </c>
      <c r="H879" s="26" t="str" cm="1">
        <f t="array" ref="H879">_xlfn.IFS(CallData[[#This Row],[Purchase Amount]]&lt;=50,"Low",CallData[[#This Row],[Purchase Amount]]&lt;=100,"Medium",CallData[[#This Row],[Purchase Amount]]&lt;=150,"High",CallData[[#This Row],[Purchase Amount]]&gt;150,"Very High")</f>
        <v>High</v>
      </c>
      <c r="I879" s="23">
        <v>4.8</v>
      </c>
      <c r="J879" s="23">
        <f>IF(MONTH('Call Data'!$F879)&lt;=6, YEAR('Call Data'!$F879), YEAR('Call Data'!$F879)+1)</f>
        <v>2024</v>
      </c>
      <c r="K879" s="23" t="str">
        <f>TEXT('Call Data'!$F879,"DDDD")</f>
        <v>Friday</v>
      </c>
      <c r="L879" s="23" t="s">
        <v>14</v>
      </c>
      <c r="M879" s="23">
        <f>ROUND('Call Data'!$I879,0)</f>
        <v>5</v>
      </c>
    </row>
    <row r="880" spans="1:13" ht="14.25" customHeight="1" x14ac:dyDescent="0.35">
      <c r="A880" s="23" t="s">
        <v>914</v>
      </c>
      <c r="B880" s="23" t="s">
        <v>38</v>
      </c>
      <c r="C880" s="23">
        <v>143</v>
      </c>
      <c r="D880" s="24" t="str" cm="1">
        <f t="array" ref="D880">_xlfn.IFS(CallData[[#This Row],[Duration]]&lt;=15,"Very short",CallData[[#This Row],[Duration]]&lt;=30,"Short",CallData[[#This Row],[Duration]]&lt;=60,"Medium",CallData[[#This Row],[Duration]]&gt;60,"Long")</f>
        <v>Long</v>
      </c>
      <c r="E880" s="24" t="s">
        <v>31</v>
      </c>
      <c r="F880" s="25">
        <v>45227</v>
      </c>
      <c r="G880" s="26">
        <v>58</v>
      </c>
      <c r="H880" s="26" t="str" cm="1">
        <f t="array" ref="H880">_xlfn.IFS(CallData[[#This Row],[Purchase Amount]]&lt;=50,"Low",CallData[[#This Row],[Purchase Amount]]&lt;=100,"Medium",CallData[[#This Row],[Purchase Amount]]&lt;=150,"High",CallData[[#This Row],[Purchase Amount]]&gt;150,"Very High")</f>
        <v>Medium</v>
      </c>
      <c r="I880" s="23">
        <v>4.3</v>
      </c>
      <c r="J880" s="23">
        <f>IF(MONTH('Call Data'!$F880)&lt;=6, YEAR('Call Data'!$F880), YEAR('Call Data'!$F880)+1)</f>
        <v>2024</v>
      </c>
      <c r="K880" s="23" t="str">
        <f>TEXT('Call Data'!$F880,"DDDD")</f>
        <v>Saturday</v>
      </c>
      <c r="L880" s="23" t="s">
        <v>25</v>
      </c>
      <c r="M880" s="23">
        <f>ROUND('Call Data'!$I880,0)</f>
        <v>4</v>
      </c>
    </row>
    <row r="881" spans="1:13" ht="14.25" customHeight="1" x14ac:dyDescent="0.35">
      <c r="A881" s="23" t="s">
        <v>915</v>
      </c>
      <c r="B881" s="23" t="s">
        <v>38</v>
      </c>
      <c r="C881" s="23">
        <v>64</v>
      </c>
      <c r="D881" s="24" t="str" cm="1">
        <f t="array" ref="D881">_xlfn.IFS(CallData[[#This Row],[Duration]]&lt;=15,"Very short",CallData[[#This Row],[Duration]]&lt;=30,"Short",CallData[[#This Row],[Duration]]&lt;=60,"Medium",CallData[[#This Row],[Duration]]&gt;60,"Long")</f>
        <v>Long</v>
      </c>
      <c r="E881" s="24" t="s">
        <v>24</v>
      </c>
      <c r="F881" s="25">
        <v>45227</v>
      </c>
      <c r="G881" s="26">
        <v>185</v>
      </c>
      <c r="H881" s="26" t="str" cm="1">
        <f t="array" ref="H881">_xlfn.IFS(CallData[[#This Row],[Purchase Amount]]&lt;=50,"Low",CallData[[#This Row],[Purchase Amount]]&lt;=100,"Medium",CallData[[#This Row],[Purchase Amount]]&lt;=150,"High",CallData[[#This Row],[Purchase Amount]]&gt;150,"Very High")</f>
        <v>Very High</v>
      </c>
      <c r="I881" s="23">
        <v>2.2000000000000002</v>
      </c>
      <c r="J881" s="23">
        <f>IF(MONTH('Call Data'!$F881)&lt;=6, YEAR('Call Data'!$F881), YEAR('Call Data'!$F881)+1)</f>
        <v>2024</v>
      </c>
      <c r="K881" s="23" t="str">
        <f>TEXT('Call Data'!$F881,"DDDD")</f>
        <v>Saturday</v>
      </c>
      <c r="L881" s="23" t="s">
        <v>14</v>
      </c>
      <c r="M881" s="23">
        <f>ROUND('Call Data'!$I881,0)</f>
        <v>2</v>
      </c>
    </row>
    <row r="882" spans="1:13" ht="14.25" customHeight="1" x14ac:dyDescent="0.35">
      <c r="A882" s="23" t="s">
        <v>916</v>
      </c>
      <c r="B882" s="23" t="s">
        <v>38</v>
      </c>
      <c r="C882" s="23">
        <v>69</v>
      </c>
      <c r="D882" s="24" t="str" cm="1">
        <f t="array" ref="D882">_xlfn.IFS(CallData[[#This Row],[Duration]]&lt;=15,"Very short",CallData[[#This Row],[Duration]]&lt;=30,"Short",CallData[[#This Row],[Duration]]&lt;=60,"Medium",CallData[[#This Row],[Duration]]&gt;60,"Long")</f>
        <v>Long</v>
      </c>
      <c r="E882" s="24" t="s">
        <v>24</v>
      </c>
      <c r="F882" s="25">
        <v>45227</v>
      </c>
      <c r="G882" s="26">
        <v>40</v>
      </c>
      <c r="H882" s="26" t="str" cm="1">
        <f t="array" ref="H882">_xlfn.IFS(CallData[[#This Row],[Purchase Amount]]&lt;=50,"Low",CallData[[#This Row],[Purchase Amount]]&lt;=100,"Medium",CallData[[#This Row],[Purchase Amount]]&lt;=150,"High",CallData[[#This Row],[Purchase Amount]]&gt;150,"Very High")</f>
        <v>Low</v>
      </c>
      <c r="I882" s="23">
        <v>4.8</v>
      </c>
      <c r="J882" s="23">
        <f>IF(MONTH('Call Data'!$F882)&lt;=6, YEAR('Call Data'!$F882), YEAR('Call Data'!$F882)+1)</f>
        <v>2024</v>
      </c>
      <c r="K882" s="23" t="str">
        <f>TEXT('Call Data'!$F882,"DDDD")</f>
        <v>Saturday</v>
      </c>
      <c r="L882" s="23" t="s">
        <v>14</v>
      </c>
      <c r="M882" s="23">
        <f>ROUND('Call Data'!$I882,0)</f>
        <v>5</v>
      </c>
    </row>
    <row r="883" spans="1:13" ht="14.25" customHeight="1" x14ac:dyDescent="0.35">
      <c r="A883" s="23" t="s">
        <v>917</v>
      </c>
      <c r="B883" s="23" t="s">
        <v>38</v>
      </c>
      <c r="C883" s="23">
        <v>18</v>
      </c>
      <c r="D883" s="24" t="str" cm="1">
        <f t="array" ref="D883">_xlfn.IFS(CallData[[#This Row],[Duration]]&lt;=15,"Very short",CallData[[#This Row],[Duration]]&lt;=30,"Short",CallData[[#This Row],[Duration]]&lt;=60,"Medium",CallData[[#This Row],[Duration]]&gt;60,"Long")</f>
        <v>Short</v>
      </c>
      <c r="E883" s="24" t="s">
        <v>35</v>
      </c>
      <c r="F883" s="25">
        <v>45227</v>
      </c>
      <c r="G883" s="26">
        <v>225</v>
      </c>
      <c r="H883" s="26" t="str" cm="1">
        <f t="array" ref="H883">_xlfn.IFS(CallData[[#This Row],[Purchase Amount]]&lt;=50,"Low",CallData[[#This Row],[Purchase Amount]]&lt;=100,"Medium",CallData[[#This Row],[Purchase Amount]]&lt;=150,"High",CallData[[#This Row],[Purchase Amount]]&gt;150,"Very High")</f>
        <v>Very High</v>
      </c>
      <c r="I883" s="23">
        <v>2.6</v>
      </c>
      <c r="J883" s="23">
        <f>IF(MONTH('Call Data'!$F883)&lt;=6, YEAR('Call Data'!$F883), YEAR('Call Data'!$F883)+1)</f>
        <v>2024</v>
      </c>
      <c r="K883" s="23" t="str">
        <f>TEXT('Call Data'!$F883,"DDDD")</f>
        <v>Saturday</v>
      </c>
      <c r="L883" s="23" t="s">
        <v>47</v>
      </c>
      <c r="M883" s="23">
        <f>ROUND('Call Data'!$I883,0)</f>
        <v>3</v>
      </c>
    </row>
    <row r="884" spans="1:13" ht="14.25" customHeight="1" x14ac:dyDescent="0.35">
      <c r="A884" s="23" t="s">
        <v>918</v>
      </c>
      <c r="B884" s="23" t="s">
        <v>21</v>
      </c>
      <c r="C884" s="23">
        <v>100</v>
      </c>
      <c r="D884" s="24" t="str" cm="1">
        <f t="array" ref="D884">_xlfn.IFS(CallData[[#This Row],[Duration]]&lt;=15,"Very short",CallData[[#This Row],[Duration]]&lt;=30,"Short",CallData[[#This Row],[Duration]]&lt;=60,"Medium",CallData[[#This Row],[Duration]]&gt;60,"Long")</f>
        <v>Long</v>
      </c>
      <c r="E884" s="24" t="s">
        <v>31</v>
      </c>
      <c r="F884" s="25">
        <v>45227</v>
      </c>
      <c r="G884" s="26">
        <v>150</v>
      </c>
      <c r="H884" s="26" t="str" cm="1">
        <f t="array" ref="H884">_xlfn.IFS(CallData[[#This Row],[Purchase Amount]]&lt;=50,"Low",CallData[[#This Row],[Purchase Amount]]&lt;=100,"Medium",CallData[[#This Row],[Purchase Amount]]&lt;=150,"High",CallData[[#This Row],[Purchase Amount]]&gt;150,"Very High")</f>
        <v>High</v>
      </c>
      <c r="I884" s="23">
        <v>2.6</v>
      </c>
      <c r="J884" s="23">
        <f>IF(MONTH('Call Data'!$F884)&lt;=6, YEAR('Call Data'!$F884), YEAR('Call Data'!$F884)+1)</f>
        <v>2024</v>
      </c>
      <c r="K884" s="23" t="str">
        <f>TEXT('Call Data'!$F884,"DDDD")</f>
        <v>Saturday</v>
      </c>
      <c r="L884" s="23" t="s">
        <v>14</v>
      </c>
      <c r="M884" s="23">
        <f>ROUND('Call Data'!$I884,0)</f>
        <v>3</v>
      </c>
    </row>
    <row r="885" spans="1:13" ht="14.25" customHeight="1" x14ac:dyDescent="0.35">
      <c r="A885" s="23" t="s">
        <v>919</v>
      </c>
      <c r="B885" s="23" t="s">
        <v>34</v>
      </c>
      <c r="C885" s="23">
        <v>110</v>
      </c>
      <c r="D885" s="24" t="str" cm="1">
        <f t="array" ref="D885">_xlfn.IFS(CallData[[#This Row],[Duration]]&lt;=15,"Very short",CallData[[#This Row],[Duration]]&lt;=30,"Short",CallData[[#This Row],[Duration]]&lt;=60,"Medium",CallData[[#This Row],[Duration]]&gt;60,"Long")</f>
        <v>Long</v>
      </c>
      <c r="E885" s="24" t="s">
        <v>19</v>
      </c>
      <c r="F885" s="25">
        <v>45228</v>
      </c>
      <c r="G885" s="26">
        <v>88</v>
      </c>
      <c r="H885" s="26" t="str" cm="1">
        <f t="array" ref="H885">_xlfn.IFS(CallData[[#This Row],[Purchase Amount]]&lt;=50,"Low",CallData[[#This Row],[Purchase Amount]]&lt;=100,"Medium",CallData[[#This Row],[Purchase Amount]]&lt;=150,"High",CallData[[#This Row],[Purchase Amount]]&gt;150,"Very High")</f>
        <v>Medium</v>
      </c>
      <c r="I885" s="23">
        <v>3.4</v>
      </c>
      <c r="J885" s="23">
        <f>IF(MONTH('Call Data'!$F885)&lt;=6, YEAR('Call Data'!$F885), YEAR('Call Data'!$F885)+1)</f>
        <v>2024</v>
      </c>
      <c r="K885" s="23" t="str">
        <f>TEXT('Call Data'!$F885,"DDDD")</f>
        <v>Sunday</v>
      </c>
      <c r="L885" s="23" t="s">
        <v>14</v>
      </c>
      <c r="M885" s="23">
        <f>ROUND('Call Data'!$I885,0)</f>
        <v>3</v>
      </c>
    </row>
    <row r="886" spans="1:13" ht="14.25" customHeight="1" x14ac:dyDescent="0.35">
      <c r="A886" s="23" t="s">
        <v>920</v>
      </c>
      <c r="B886" s="23" t="s">
        <v>50</v>
      </c>
      <c r="C886" s="23">
        <v>41</v>
      </c>
      <c r="D886" s="24" t="str" cm="1">
        <f t="array" ref="D886">_xlfn.IFS(CallData[[#This Row],[Duration]]&lt;=15,"Very short",CallData[[#This Row],[Duration]]&lt;=30,"Short",CallData[[#This Row],[Duration]]&lt;=60,"Medium",CallData[[#This Row],[Duration]]&gt;60,"Long")</f>
        <v>Medium</v>
      </c>
      <c r="E886" s="24" t="s">
        <v>13</v>
      </c>
      <c r="F886" s="25">
        <v>45228</v>
      </c>
      <c r="G886" s="26">
        <v>140</v>
      </c>
      <c r="H886" s="26" t="str" cm="1">
        <f t="array" ref="H886">_xlfn.IFS(CallData[[#This Row],[Purchase Amount]]&lt;=50,"Low",CallData[[#This Row],[Purchase Amount]]&lt;=100,"Medium",CallData[[#This Row],[Purchase Amount]]&lt;=150,"High",CallData[[#This Row],[Purchase Amount]]&gt;150,"Very High")</f>
        <v>High</v>
      </c>
      <c r="I886" s="23">
        <v>3.7</v>
      </c>
      <c r="J886" s="23">
        <f>IF(MONTH('Call Data'!$F886)&lt;=6, YEAR('Call Data'!$F886), YEAR('Call Data'!$F886)+1)</f>
        <v>2024</v>
      </c>
      <c r="K886" s="23" t="str">
        <f>TEXT('Call Data'!$F886,"DDDD")</f>
        <v>Sunday</v>
      </c>
      <c r="L886" s="23" t="s">
        <v>27</v>
      </c>
      <c r="M886" s="23">
        <f>ROUND('Call Data'!$I886,0)</f>
        <v>4</v>
      </c>
    </row>
    <row r="887" spans="1:13" ht="14.25" customHeight="1" x14ac:dyDescent="0.35">
      <c r="A887" s="23" t="s">
        <v>921</v>
      </c>
      <c r="B887" s="23" t="s">
        <v>34</v>
      </c>
      <c r="C887" s="23">
        <v>147</v>
      </c>
      <c r="D887" s="24" t="str" cm="1">
        <f t="array" ref="D887">_xlfn.IFS(CallData[[#This Row],[Duration]]&lt;=15,"Very short",CallData[[#This Row],[Duration]]&lt;=30,"Short",CallData[[#This Row],[Duration]]&lt;=60,"Medium",CallData[[#This Row],[Duration]]&gt;60,"Long")</f>
        <v>Long</v>
      </c>
      <c r="E887" s="24" t="s">
        <v>19</v>
      </c>
      <c r="F887" s="25">
        <v>45228</v>
      </c>
      <c r="G887" s="26">
        <v>68</v>
      </c>
      <c r="H887" s="26" t="str" cm="1">
        <f t="array" ref="H887">_xlfn.IFS(CallData[[#This Row],[Purchase Amount]]&lt;=50,"Low",CallData[[#This Row],[Purchase Amount]]&lt;=100,"Medium",CallData[[#This Row],[Purchase Amount]]&lt;=150,"High",CallData[[#This Row],[Purchase Amount]]&gt;150,"Very High")</f>
        <v>Medium</v>
      </c>
      <c r="I887" s="23">
        <v>2.1</v>
      </c>
      <c r="J887" s="23">
        <f>IF(MONTH('Call Data'!$F887)&lt;=6, YEAR('Call Data'!$F887), YEAR('Call Data'!$F887)+1)</f>
        <v>2024</v>
      </c>
      <c r="K887" s="23" t="str">
        <f>TEXT('Call Data'!$F887,"DDDD")</f>
        <v>Sunday</v>
      </c>
      <c r="L887" s="23" t="s">
        <v>25</v>
      </c>
      <c r="M887" s="23">
        <f>ROUND('Call Data'!$I887,0)</f>
        <v>2</v>
      </c>
    </row>
    <row r="888" spans="1:13" ht="14.25" customHeight="1" x14ac:dyDescent="0.35">
      <c r="A888" s="23" t="s">
        <v>922</v>
      </c>
      <c r="B888" s="23" t="s">
        <v>16</v>
      </c>
      <c r="C888" s="23">
        <v>31</v>
      </c>
      <c r="D888" s="24" t="str" cm="1">
        <f t="array" ref="D888">_xlfn.IFS(CallData[[#This Row],[Duration]]&lt;=15,"Very short",CallData[[#This Row],[Duration]]&lt;=30,"Short",CallData[[#This Row],[Duration]]&lt;=60,"Medium",CallData[[#This Row],[Duration]]&gt;60,"Long")</f>
        <v>Medium</v>
      </c>
      <c r="E888" s="24" t="s">
        <v>35</v>
      </c>
      <c r="F888" s="25">
        <v>45229</v>
      </c>
      <c r="G888" s="26">
        <v>105</v>
      </c>
      <c r="H888" s="26" t="str" cm="1">
        <f t="array" ref="H888">_xlfn.IFS(CallData[[#This Row],[Purchase Amount]]&lt;=50,"Low",CallData[[#This Row],[Purchase Amount]]&lt;=100,"Medium",CallData[[#This Row],[Purchase Amount]]&lt;=150,"High",CallData[[#This Row],[Purchase Amount]]&gt;150,"Very High")</f>
        <v>High</v>
      </c>
      <c r="I888" s="23">
        <v>3.6</v>
      </c>
      <c r="J888" s="23">
        <f>IF(MONTH('Call Data'!$F888)&lt;=6, YEAR('Call Data'!$F888), YEAR('Call Data'!$F888)+1)</f>
        <v>2024</v>
      </c>
      <c r="K888" s="23" t="str">
        <f>TEXT('Call Data'!$F888,"DDDD")</f>
        <v>Monday</v>
      </c>
      <c r="L888" s="23" t="s">
        <v>27</v>
      </c>
      <c r="M888" s="23">
        <f>ROUND('Call Data'!$I888,0)</f>
        <v>4</v>
      </c>
    </row>
    <row r="889" spans="1:13" ht="14.25" customHeight="1" x14ac:dyDescent="0.35">
      <c r="A889" s="23" t="s">
        <v>923</v>
      </c>
      <c r="B889" s="23" t="s">
        <v>68</v>
      </c>
      <c r="C889" s="23">
        <v>142</v>
      </c>
      <c r="D889" s="24" t="str" cm="1">
        <f t="array" ref="D889">_xlfn.IFS(CallData[[#This Row],[Duration]]&lt;=15,"Very short",CallData[[#This Row],[Duration]]&lt;=30,"Short",CallData[[#This Row],[Duration]]&lt;=60,"Medium",CallData[[#This Row],[Duration]]&gt;60,"Long")</f>
        <v>Long</v>
      </c>
      <c r="E889" s="24" t="s">
        <v>13</v>
      </c>
      <c r="F889" s="25">
        <v>45229</v>
      </c>
      <c r="G889" s="26">
        <v>40</v>
      </c>
      <c r="H889" s="26" t="str" cm="1">
        <f t="array" ref="H889">_xlfn.IFS(CallData[[#This Row],[Purchase Amount]]&lt;=50,"Low",CallData[[#This Row],[Purchase Amount]]&lt;=100,"Medium",CallData[[#This Row],[Purchase Amount]]&lt;=150,"High",CallData[[#This Row],[Purchase Amount]]&gt;150,"Very High")</f>
        <v>Low</v>
      </c>
      <c r="I889" s="23">
        <v>3.8</v>
      </c>
      <c r="J889" s="23">
        <f>IF(MONTH('Call Data'!$F889)&lt;=6, YEAR('Call Data'!$F889), YEAR('Call Data'!$F889)+1)</f>
        <v>2024</v>
      </c>
      <c r="K889" s="23" t="str">
        <f>TEXT('Call Data'!$F889,"DDDD")</f>
        <v>Monday</v>
      </c>
      <c r="L889" s="23" t="s">
        <v>25</v>
      </c>
      <c r="M889" s="23">
        <f>ROUND('Call Data'!$I889,0)</f>
        <v>4</v>
      </c>
    </row>
    <row r="890" spans="1:13" ht="14.25" customHeight="1" x14ac:dyDescent="0.35">
      <c r="A890" s="23" t="s">
        <v>924</v>
      </c>
      <c r="B890" s="23" t="s">
        <v>46</v>
      </c>
      <c r="C890" s="23">
        <v>61</v>
      </c>
      <c r="D890" s="24" t="str" cm="1">
        <f t="array" ref="D890">_xlfn.IFS(CallData[[#This Row],[Duration]]&lt;=15,"Very short",CallData[[#This Row],[Duration]]&lt;=30,"Short",CallData[[#This Row],[Duration]]&lt;=60,"Medium",CallData[[#This Row],[Duration]]&gt;60,"Long")</f>
        <v>Long</v>
      </c>
      <c r="E890" s="24" t="s">
        <v>13</v>
      </c>
      <c r="F890" s="25">
        <v>45229</v>
      </c>
      <c r="G890" s="26">
        <v>82</v>
      </c>
      <c r="H890" s="26" t="str" cm="1">
        <f t="array" ref="H890">_xlfn.IFS(CallData[[#This Row],[Purchase Amount]]&lt;=50,"Low",CallData[[#This Row],[Purchase Amount]]&lt;=100,"Medium",CallData[[#This Row],[Purchase Amount]]&lt;=150,"High",CallData[[#This Row],[Purchase Amount]]&gt;150,"Very High")</f>
        <v>Medium</v>
      </c>
      <c r="I890" s="23">
        <v>3.1</v>
      </c>
      <c r="J890" s="23">
        <f>IF(MONTH('Call Data'!$F890)&lt;=6, YEAR('Call Data'!$F890), YEAR('Call Data'!$F890)+1)</f>
        <v>2024</v>
      </c>
      <c r="K890" s="23" t="str">
        <f>TEXT('Call Data'!$F890,"DDDD")</f>
        <v>Monday</v>
      </c>
      <c r="L890" s="23" t="s">
        <v>14</v>
      </c>
      <c r="M890" s="23">
        <f>ROUND('Call Data'!$I890,0)</f>
        <v>3</v>
      </c>
    </row>
    <row r="891" spans="1:13" ht="14.25" customHeight="1" x14ac:dyDescent="0.35">
      <c r="A891" s="23" t="s">
        <v>925</v>
      </c>
      <c r="B891" s="23" t="s">
        <v>12</v>
      </c>
      <c r="C891" s="23">
        <v>86</v>
      </c>
      <c r="D891" s="24" t="str" cm="1">
        <f t="array" ref="D891">_xlfn.IFS(CallData[[#This Row],[Duration]]&lt;=15,"Very short",CallData[[#This Row],[Duration]]&lt;=30,"Short",CallData[[#This Row],[Duration]]&lt;=60,"Medium",CallData[[#This Row],[Duration]]&gt;60,"Long")</f>
        <v>Long</v>
      </c>
      <c r="E891" s="24" t="s">
        <v>35</v>
      </c>
      <c r="F891" s="25">
        <v>45230</v>
      </c>
      <c r="G891" s="26">
        <v>90</v>
      </c>
      <c r="H891" s="26" t="str" cm="1">
        <f t="array" ref="H891">_xlfn.IFS(CallData[[#This Row],[Purchase Amount]]&lt;=50,"Low",CallData[[#This Row],[Purchase Amount]]&lt;=100,"Medium",CallData[[#This Row],[Purchase Amount]]&lt;=150,"High",CallData[[#This Row],[Purchase Amount]]&gt;150,"Very High")</f>
        <v>Medium</v>
      </c>
      <c r="I891" s="23">
        <v>4.4000000000000004</v>
      </c>
      <c r="J891" s="23">
        <f>IF(MONTH('Call Data'!$F891)&lt;=6, YEAR('Call Data'!$F891), YEAR('Call Data'!$F891)+1)</f>
        <v>2024</v>
      </c>
      <c r="K891" s="23" t="str">
        <f>TEXT('Call Data'!$F891,"DDDD")</f>
        <v>Tuesday</v>
      </c>
      <c r="L891" s="23" t="s">
        <v>14</v>
      </c>
      <c r="M891" s="23">
        <f>ROUND('Call Data'!$I891,0)</f>
        <v>4</v>
      </c>
    </row>
    <row r="892" spans="1:13" ht="14.25" customHeight="1" x14ac:dyDescent="0.35">
      <c r="A892" s="23" t="s">
        <v>926</v>
      </c>
      <c r="B892" s="23" t="s">
        <v>18</v>
      </c>
      <c r="C892" s="23">
        <v>165</v>
      </c>
      <c r="D892" s="24" t="str" cm="1">
        <f t="array" ref="D892">_xlfn.IFS(CallData[[#This Row],[Duration]]&lt;=15,"Very short",CallData[[#This Row],[Duration]]&lt;=30,"Short",CallData[[#This Row],[Duration]]&lt;=60,"Medium",CallData[[#This Row],[Duration]]&gt;60,"Long")</f>
        <v>Long</v>
      </c>
      <c r="E892" s="24" t="s">
        <v>31</v>
      </c>
      <c r="F892" s="25">
        <v>45231</v>
      </c>
      <c r="G892" s="26">
        <v>66</v>
      </c>
      <c r="H892" s="26" t="str" cm="1">
        <f t="array" ref="H892">_xlfn.IFS(CallData[[#This Row],[Purchase Amount]]&lt;=50,"Low",CallData[[#This Row],[Purchase Amount]]&lt;=100,"Medium",CallData[[#This Row],[Purchase Amount]]&lt;=150,"High",CallData[[#This Row],[Purchase Amount]]&gt;150,"Very High")</f>
        <v>Medium</v>
      </c>
      <c r="I892" s="23">
        <v>4.8</v>
      </c>
      <c r="J892" s="23">
        <f>IF(MONTH('Call Data'!$F892)&lt;=6, YEAR('Call Data'!$F892), YEAR('Call Data'!$F892)+1)</f>
        <v>2024</v>
      </c>
      <c r="K892" s="23" t="str">
        <f>TEXT('Call Data'!$F892,"DDDD")</f>
        <v>Wednesday</v>
      </c>
      <c r="L892" s="23" t="s">
        <v>25</v>
      </c>
      <c r="M892" s="23">
        <f>ROUND('Call Data'!$I892,0)</f>
        <v>5</v>
      </c>
    </row>
    <row r="893" spans="1:13" ht="14.25" customHeight="1" x14ac:dyDescent="0.35">
      <c r="A893" s="23" t="s">
        <v>927</v>
      </c>
      <c r="B893" s="23" t="s">
        <v>88</v>
      </c>
      <c r="C893" s="23">
        <v>62</v>
      </c>
      <c r="D893" s="24" t="str" cm="1">
        <f t="array" ref="D893">_xlfn.IFS(CallData[[#This Row],[Duration]]&lt;=15,"Very short",CallData[[#This Row],[Duration]]&lt;=30,"Short",CallData[[#This Row],[Duration]]&lt;=60,"Medium",CallData[[#This Row],[Duration]]&gt;60,"Long")</f>
        <v>Long</v>
      </c>
      <c r="E893" s="24" t="s">
        <v>19</v>
      </c>
      <c r="F893" s="25">
        <v>45231</v>
      </c>
      <c r="G893" s="26">
        <v>78</v>
      </c>
      <c r="H893" s="26" t="str" cm="1">
        <f t="array" ref="H893">_xlfn.IFS(CallData[[#This Row],[Purchase Amount]]&lt;=50,"Low",CallData[[#This Row],[Purchase Amount]]&lt;=100,"Medium",CallData[[#This Row],[Purchase Amount]]&lt;=150,"High",CallData[[#This Row],[Purchase Amount]]&gt;150,"Very High")</f>
        <v>Medium</v>
      </c>
      <c r="I893" s="23">
        <v>3.5</v>
      </c>
      <c r="J893" s="23">
        <f>IF(MONTH('Call Data'!$F893)&lt;=6, YEAR('Call Data'!$F893), YEAR('Call Data'!$F893)+1)</f>
        <v>2024</v>
      </c>
      <c r="K893" s="23" t="str">
        <f>TEXT('Call Data'!$F893,"DDDD")</f>
        <v>Wednesday</v>
      </c>
      <c r="L893" s="23" t="s">
        <v>14</v>
      </c>
      <c r="M893" s="23">
        <f>ROUND('Call Data'!$I893,0)</f>
        <v>4</v>
      </c>
    </row>
    <row r="894" spans="1:13" ht="14.25" customHeight="1" x14ac:dyDescent="0.35">
      <c r="A894" s="23" t="s">
        <v>928</v>
      </c>
      <c r="B894" s="23" t="s">
        <v>21</v>
      </c>
      <c r="C894" s="23">
        <v>103</v>
      </c>
      <c r="D894" s="24" t="str" cm="1">
        <f t="array" ref="D894">_xlfn.IFS(CallData[[#This Row],[Duration]]&lt;=15,"Very short",CallData[[#This Row],[Duration]]&lt;=30,"Short",CallData[[#This Row],[Duration]]&lt;=60,"Medium",CallData[[#This Row],[Duration]]&gt;60,"Long")</f>
        <v>Long</v>
      </c>
      <c r="E894" s="24" t="s">
        <v>31</v>
      </c>
      <c r="F894" s="25">
        <v>45232</v>
      </c>
      <c r="G894" s="26">
        <v>66</v>
      </c>
      <c r="H894" s="26" t="str" cm="1">
        <f t="array" ref="H894">_xlfn.IFS(CallData[[#This Row],[Purchase Amount]]&lt;=50,"Low",CallData[[#This Row],[Purchase Amount]]&lt;=100,"Medium",CallData[[#This Row],[Purchase Amount]]&lt;=150,"High",CallData[[#This Row],[Purchase Amount]]&gt;150,"Very High")</f>
        <v>Medium</v>
      </c>
      <c r="I894" s="23">
        <v>4.4000000000000004</v>
      </c>
      <c r="J894" s="23">
        <f>IF(MONTH('Call Data'!$F894)&lt;=6, YEAR('Call Data'!$F894), YEAR('Call Data'!$F894)+1)</f>
        <v>2024</v>
      </c>
      <c r="K894" s="23" t="str">
        <f>TEXT('Call Data'!$F894,"DDDD")</f>
        <v>Thursday</v>
      </c>
      <c r="L894" s="23" t="s">
        <v>14</v>
      </c>
      <c r="M894" s="23">
        <f>ROUND('Call Data'!$I894,0)</f>
        <v>4</v>
      </c>
    </row>
    <row r="895" spans="1:13" ht="14.25" customHeight="1" x14ac:dyDescent="0.35">
      <c r="A895" s="23" t="s">
        <v>929</v>
      </c>
      <c r="B895" s="23" t="s">
        <v>68</v>
      </c>
      <c r="C895" s="23">
        <v>56</v>
      </c>
      <c r="D895" s="24" t="str" cm="1">
        <f t="array" ref="D895">_xlfn.IFS(CallData[[#This Row],[Duration]]&lt;=15,"Very short",CallData[[#This Row],[Duration]]&lt;=30,"Short",CallData[[#This Row],[Duration]]&lt;=60,"Medium",CallData[[#This Row],[Duration]]&gt;60,"Long")</f>
        <v>Medium</v>
      </c>
      <c r="E895" s="24" t="s">
        <v>35</v>
      </c>
      <c r="F895" s="25">
        <v>45233</v>
      </c>
      <c r="G895" s="26">
        <v>160</v>
      </c>
      <c r="H895" s="26" t="str" cm="1">
        <f t="array" ref="H895">_xlfn.IFS(CallData[[#This Row],[Purchase Amount]]&lt;=50,"Low",CallData[[#This Row],[Purchase Amount]]&lt;=100,"Medium",CallData[[#This Row],[Purchase Amount]]&lt;=150,"High",CallData[[#This Row],[Purchase Amount]]&gt;150,"Very High")</f>
        <v>Very High</v>
      </c>
      <c r="I895" s="23">
        <v>3.8</v>
      </c>
      <c r="J895" s="23">
        <f>IF(MONTH('Call Data'!$F895)&lt;=6, YEAR('Call Data'!$F895), YEAR('Call Data'!$F895)+1)</f>
        <v>2024</v>
      </c>
      <c r="K895" s="23" t="str">
        <f>TEXT('Call Data'!$F895,"DDDD")</f>
        <v>Friday</v>
      </c>
      <c r="L895" s="23" t="s">
        <v>27</v>
      </c>
      <c r="M895" s="23">
        <f>ROUND('Call Data'!$I895,0)</f>
        <v>4</v>
      </c>
    </row>
    <row r="896" spans="1:13" ht="14.25" customHeight="1" x14ac:dyDescent="0.35">
      <c r="A896" s="23" t="s">
        <v>930</v>
      </c>
      <c r="B896" s="23" t="s">
        <v>58</v>
      </c>
      <c r="C896" s="23">
        <v>114</v>
      </c>
      <c r="D896" s="24" t="str" cm="1">
        <f t="array" ref="D896">_xlfn.IFS(CallData[[#This Row],[Duration]]&lt;=15,"Very short",CallData[[#This Row],[Duration]]&lt;=30,"Short",CallData[[#This Row],[Duration]]&lt;=60,"Medium",CallData[[#This Row],[Duration]]&gt;60,"Long")</f>
        <v>Long</v>
      </c>
      <c r="E896" s="24" t="s">
        <v>13</v>
      </c>
      <c r="F896" s="25">
        <v>45234</v>
      </c>
      <c r="G896" s="26">
        <v>144</v>
      </c>
      <c r="H896" s="26" t="str" cm="1">
        <f t="array" ref="H896">_xlfn.IFS(CallData[[#This Row],[Purchase Amount]]&lt;=50,"Low",CallData[[#This Row],[Purchase Amount]]&lt;=100,"Medium",CallData[[#This Row],[Purchase Amount]]&lt;=150,"High",CallData[[#This Row],[Purchase Amount]]&gt;150,"Very High")</f>
        <v>High</v>
      </c>
      <c r="I896" s="23">
        <v>3.8</v>
      </c>
      <c r="J896" s="23">
        <f>IF(MONTH('Call Data'!$F896)&lt;=6, YEAR('Call Data'!$F896), YEAR('Call Data'!$F896)+1)</f>
        <v>2024</v>
      </c>
      <c r="K896" s="23" t="str">
        <f>TEXT('Call Data'!$F896,"DDDD")</f>
        <v>Saturday</v>
      </c>
      <c r="L896" s="23" t="s">
        <v>14</v>
      </c>
      <c r="M896" s="23">
        <f>ROUND('Call Data'!$I896,0)</f>
        <v>4</v>
      </c>
    </row>
    <row r="897" spans="1:13" ht="14.25" customHeight="1" x14ac:dyDescent="0.35">
      <c r="A897" s="23" t="s">
        <v>931</v>
      </c>
      <c r="B897" s="23" t="s">
        <v>68</v>
      </c>
      <c r="C897" s="23">
        <v>112</v>
      </c>
      <c r="D897" s="24" t="str" cm="1">
        <f t="array" ref="D897">_xlfn.IFS(CallData[[#This Row],[Duration]]&lt;=15,"Very short",CallData[[#This Row],[Duration]]&lt;=30,"Short",CallData[[#This Row],[Duration]]&lt;=60,"Medium",CallData[[#This Row],[Duration]]&gt;60,"Long")</f>
        <v>Long</v>
      </c>
      <c r="E897" s="24" t="s">
        <v>24</v>
      </c>
      <c r="F897" s="25">
        <v>45234</v>
      </c>
      <c r="G897" s="26">
        <v>200</v>
      </c>
      <c r="H897" s="26" t="str" cm="1">
        <f t="array" ref="H897">_xlfn.IFS(CallData[[#This Row],[Purchase Amount]]&lt;=50,"Low",CallData[[#This Row],[Purchase Amount]]&lt;=100,"Medium",CallData[[#This Row],[Purchase Amount]]&lt;=150,"High",CallData[[#This Row],[Purchase Amount]]&gt;150,"Very High")</f>
        <v>Very High</v>
      </c>
      <c r="I897" s="23">
        <v>4.5999999999999996</v>
      </c>
      <c r="J897" s="23">
        <f>IF(MONTH('Call Data'!$F897)&lt;=6, YEAR('Call Data'!$F897), YEAR('Call Data'!$F897)+1)</f>
        <v>2024</v>
      </c>
      <c r="K897" s="23" t="str">
        <f>TEXT('Call Data'!$F897,"DDDD")</f>
        <v>Saturday</v>
      </c>
      <c r="L897" s="23" t="s">
        <v>14</v>
      </c>
      <c r="M897" s="23">
        <f>ROUND('Call Data'!$I897,0)</f>
        <v>5</v>
      </c>
    </row>
    <row r="898" spans="1:13" ht="14.25" customHeight="1" x14ac:dyDescent="0.35">
      <c r="A898" s="23" t="s">
        <v>932</v>
      </c>
      <c r="B898" s="23" t="s">
        <v>29</v>
      </c>
      <c r="C898" s="23">
        <v>52</v>
      </c>
      <c r="D898" s="24" t="str" cm="1">
        <f t="array" ref="D898">_xlfn.IFS(CallData[[#This Row],[Duration]]&lt;=15,"Very short",CallData[[#This Row],[Duration]]&lt;=30,"Short",CallData[[#This Row],[Duration]]&lt;=60,"Medium",CallData[[#This Row],[Duration]]&gt;60,"Long")</f>
        <v>Medium</v>
      </c>
      <c r="E898" s="24" t="s">
        <v>19</v>
      </c>
      <c r="F898" s="25">
        <v>45236</v>
      </c>
      <c r="G898" s="26">
        <v>220</v>
      </c>
      <c r="H898" s="26" t="str" cm="1">
        <f t="array" ref="H898">_xlfn.IFS(CallData[[#This Row],[Purchase Amount]]&lt;=50,"Low",CallData[[#This Row],[Purchase Amount]]&lt;=100,"Medium",CallData[[#This Row],[Purchase Amount]]&lt;=150,"High",CallData[[#This Row],[Purchase Amount]]&gt;150,"Very High")</f>
        <v>Very High</v>
      </c>
      <c r="I898" s="23">
        <v>5</v>
      </c>
      <c r="J898" s="23">
        <f>IF(MONTH('Call Data'!$F898)&lt;=6, YEAR('Call Data'!$F898), YEAR('Call Data'!$F898)+1)</f>
        <v>2024</v>
      </c>
      <c r="K898" s="23" t="str">
        <f>TEXT('Call Data'!$F898,"DDDD")</f>
        <v>Monday</v>
      </c>
      <c r="L898" s="23" t="s">
        <v>27</v>
      </c>
      <c r="M898" s="23">
        <f>ROUND('Call Data'!$I898,0)</f>
        <v>5</v>
      </c>
    </row>
    <row r="899" spans="1:13" ht="14.25" customHeight="1" x14ac:dyDescent="0.35">
      <c r="A899" s="23" t="s">
        <v>933</v>
      </c>
      <c r="B899" s="23" t="s">
        <v>21</v>
      </c>
      <c r="C899" s="23">
        <v>105</v>
      </c>
      <c r="D899" s="24" t="str" cm="1">
        <f t="array" ref="D899">_xlfn.IFS(CallData[[#This Row],[Duration]]&lt;=15,"Very short",CallData[[#This Row],[Duration]]&lt;=30,"Short",CallData[[#This Row],[Duration]]&lt;=60,"Medium",CallData[[#This Row],[Duration]]&gt;60,"Long")</f>
        <v>Long</v>
      </c>
      <c r="E899" s="24" t="s">
        <v>31</v>
      </c>
      <c r="F899" s="25">
        <v>45237</v>
      </c>
      <c r="G899" s="26">
        <v>112</v>
      </c>
      <c r="H899" s="26" t="str" cm="1">
        <f t="array" ref="H899">_xlfn.IFS(CallData[[#This Row],[Purchase Amount]]&lt;=50,"Low",CallData[[#This Row],[Purchase Amount]]&lt;=100,"Medium",CallData[[#This Row],[Purchase Amount]]&lt;=150,"High",CallData[[#This Row],[Purchase Amount]]&gt;150,"Very High")</f>
        <v>High</v>
      </c>
      <c r="I899" s="23">
        <v>3.2</v>
      </c>
      <c r="J899" s="23">
        <f>IF(MONTH('Call Data'!$F899)&lt;=6, YEAR('Call Data'!$F899), YEAR('Call Data'!$F899)+1)</f>
        <v>2024</v>
      </c>
      <c r="K899" s="23" t="str">
        <f>TEXT('Call Data'!$F899,"DDDD")</f>
        <v>Tuesday</v>
      </c>
      <c r="L899" s="23" t="s">
        <v>14</v>
      </c>
      <c r="M899" s="23">
        <f>ROUND('Call Data'!$I899,0)</f>
        <v>3</v>
      </c>
    </row>
    <row r="900" spans="1:13" ht="14.25" customHeight="1" x14ac:dyDescent="0.35">
      <c r="A900" s="23" t="s">
        <v>934</v>
      </c>
      <c r="B900" s="23" t="s">
        <v>18</v>
      </c>
      <c r="C900" s="23">
        <v>91</v>
      </c>
      <c r="D900" s="24" t="str" cm="1">
        <f t="array" ref="D900">_xlfn.IFS(CallData[[#This Row],[Duration]]&lt;=15,"Very short",CallData[[#This Row],[Duration]]&lt;=30,"Short",CallData[[#This Row],[Duration]]&lt;=60,"Medium",CallData[[#This Row],[Duration]]&gt;60,"Long")</f>
        <v>Long</v>
      </c>
      <c r="E900" s="24" t="s">
        <v>35</v>
      </c>
      <c r="F900" s="25">
        <v>45237</v>
      </c>
      <c r="G900" s="26">
        <v>110</v>
      </c>
      <c r="H900" s="26" t="str" cm="1">
        <f t="array" ref="H900">_xlfn.IFS(CallData[[#This Row],[Purchase Amount]]&lt;=50,"Low",CallData[[#This Row],[Purchase Amount]]&lt;=100,"Medium",CallData[[#This Row],[Purchase Amount]]&lt;=150,"High",CallData[[#This Row],[Purchase Amount]]&gt;150,"Very High")</f>
        <v>High</v>
      </c>
      <c r="I900" s="23">
        <v>3.7</v>
      </c>
      <c r="J900" s="23">
        <f>IF(MONTH('Call Data'!$F900)&lt;=6, YEAR('Call Data'!$F900), YEAR('Call Data'!$F900)+1)</f>
        <v>2024</v>
      </c>
      <c r="K900" s="23" t="str">
        <f>TEXT('Call Data'!$F900,"DDDD")</f>
        <v>Tuesday</v>
      </c>
      <c r="L900" s="23" t="s">
        <v>14</v>
      </c>
      <c r="M900" s="23">
        <f>ROUND('Call Data'!$I900,0)</f>
        <v>4</v>
      </c>
    </row>
    <row r="901" spans="1:13" ht="14.25" customHeight="1" x14ac:dyDescent="0.35">
      <c r="A901" s="23" t="s">
        <v>935</v>
      </c>
      <c r="B901" s="23" t="s">
        <v>55</v>
      </c>
      <c r="C901" s="23">
        <v>74</v>
      </c>
      <c r="D901" s="24" t="str" cm="1">
        <f t="array" ref="D901">_xlfn.IFS(CallData[[#This Row],[Duration]]&lt;=15,"Very short",CallData[[#This Row],[Duration]]&lt;=30,"Short",CallData[[#This Row],[Duration]]&lt;=60,"Medium",CallData[[#This Row],[Duration]]&gt;60,"Long")</f>
        <v>Long</v>
      </c>
      <c r="E901" s="24" t="s">
        <v>13</v>
      </c>
      <c r="F901" s="25">
        <v>45238</v>
      </c>
      <c r="G901" s="26">
        <v>160</v>
      </c>
      <c r="H901" s="26" t="str" cm="1">
        <f t="array" ref="H901">_xlfn.IFS(CallData[[#This Row],[Purchase Amount]]&lt;=50,"Low",CallData[[#This Row],[Purchase Amount]]&lt;=100,"Medium",CallData[[#This Row],[Purchase Amount]]&lt;=150,"High",CallData[[#This Row],[Purchase Amount]]&gt;150,"Very High")</f>
        <v>Very High</v>
      </c>
      <c r="I901" s="23">
        <v>2.7</v>
      </c>
      <c r="J901" s="23">
        <f>IF(MONTH('Call Data'!$F901)&lt;=6, YEAR('Call Data'!$F901), YEAR('Call Data'!$F901)+1)</f>
        <v>2024</v>
      </c>
      <c r="K901" s="23" t="str">
        <f>TEXT('Call Data'!$F901,"DDDD")</f>
        <v>Wednesday</v>
      </c>
      <c r="L901" s="23" t="s">
        <v>14</v>
      </c>
      <c r="M901" s="23">
        <f>ROUND('Call Data'!$I901,0)</f>
        <v>3</v>
      </c>
    </row>
    <row r="902" spans="1:13" ht="14.25" customHeight="1" x14ac:dyDescent="0.35">
      <c r="A902" s="23" t="s">
        <v>936</v>
      </c>
      <c r="B902" s="23" t="s">
        <v>55</v>
      </c>
      <c r="C902" s="23">
        <v>30</v>
      </c>
      <c r="D902" s="24" t="str" cm="1">
        <f t="array" ref="D902">_xlfn.IFS(CallData[[#This Row],[Duration]]&lt;=15,"Very short",CallData[[#This Row],[Duration]]&lt;=30,"Short",CallData[[#This Row],[Duration]]&lt;=60,"Medium",CallData[[#This Row],[Duration]]&gt;60,"Long")</f>
        <v>Short</v>
      </c>
      <c r="E902" s="24" t="s">
        <v>35</v>
      </c>
      <c r="F902" s="25">
        <v>45238</v>
      </c>
      <c r="G902" s="26">
        <v>84</v>
      </c>
      <c r="H902" s="26" t="str" cm="1">
        <f t="array" ref="H902">_xlfn.IFS(CallData[[#This Row],[Purchase Amount]]&lt;=50,"Low",CallData[[#This Row],[Purchase Amount]]&lt;=100,"Medium",CallData[[#This Row],[Purchase Amount]]&lt;=150,"High",CallData[[#This Row],[Purchase Amount]]&gt;150,"Very High")</f>
        <v>Medium</v>
      </c>
      <c r="I902" s="23">
        <v>4</v>
      </c>
      <c r="J902" s="23">
        <f>IF(MONTH('Call Data'!$F902)&lt;=6, YEAR('Call Data'!$F902), YEAR('Call Data'!$F902)+1)</f>
        <v>2024</v>
      </c>
      <c r="K902" s="23" t="str">
        <f>TEXT('Call Data'!$F902,"DDDD")</f>
        <v>Wednesday</v>
      </c>
      <c r="L902" s="23" t="s">
        <v>47</v>
      </c>
      <c r="M902" s="23">
        <f>ROUND('Call Data'!$I902,0)</f>
        <v>4</v>
      </c>
    </row>
    <row r="903" spans="1:13" ht="14.25" customHeight="1" x14ac:dyDescent="0.35">
      <c r="A903" s="23" t="s">
        <v>937</v>
      </c>
      <c r="B903" s="23" t="s">
        <v>18</v>
      </c>
      <c r="C903" s="23">
        <v>56</v>
      </c>
      <c r="D903" s="24" t="str" cm="1">
        <f t="array" ref="D903">_xlfn.IFS(CallData[[#This Row],[Duration]]&lt;=15,"Very short",CallData[[#This Row],[Duration]]&lt;=30,"Short",CallData[[#This Row],[Duration]]&lt;=60,"Medium",CallData[[#This Row],[Duration]]&gt;60,"Long")</f>
        <v>Medium</v>
      </c>
      <c r="E903" s="24" t="s">
        <v>19</v>
      </c>
      <c r="F903" s="25">
        <v>45238</v>
      </c>
      <c r="G903" s="26">
        <v>124</v>
      </c>
      <c r="H903" s="26" t="str" cm="1">
        <f t="array" ref="H903">_xlfn.IFS(CallData[[#This Row],[Purchase Amount]]&lt;=50,"Low",CallData[[#This Row],[Purchase Amount]]&lt;=100,"Medium",CallData[[#This Row],[Purchase Amount]]&lt;=150,"High",CallData[[#This Row],[Purchase Amount]]&gt;150,"Very High")</f>
        <v>High</v>
      </c>
      <c r="I903" s="23">
        <v>2.6</v>
      </c>
      <c r="J903" s="23">
        <f>IF(MONTH('Call Data'!$F903)&lt;=6, YEAR('Call Data'!$F903), YEAR('Call Data'!$F903)+1)</f>
        <v>2024</v>
      </c>
      <c r="K903" s="23" t="str">
        <f>TEXT('Call Data'!$F903,"DDDD")</f>
        <v>Wednesday</v>
      </c>
      <c r="L903" s="23" t="s">
        <v>27</v>
      </c>
      <c r="M903" s="23">
        <f>ROUND('Call Data'!$I903,0)</f>
        <v>3</v>
      </c>
    </row>
    <row r="904" spans="1:13" ht="14.25" customHeight="1" x14ac:dyDescent="0.35">
      <c r="A904" s="23" t="s">
        <v>938</v>
      </c>
      <c r="B904" s="23" t="s">
        <v>55</v>
      </c>
      <c r="C904" s="23">
        <v>151</v>
      </c>
      <c r="D904" s="24" t="str" cm="1">
        <f t="array" ref="D904">_xlfn.IFS(CallData[[#This Row],[Duration]]&lt;=15,"Very short",CallData[[#This Row],[Duration]]&lt;=30,"Short",CallData[[#This Row],[Duration]]&lt;=60,"Medium",CallData[[#This Row],[Duration]]&gt;60,"Long")</f>
        <v>Long</v>
      </c>
      <c r="E904" s="24" t="s">
        <v>24</v>
      </c>
      <c r="F904" s="25">
        <v>45238</v>
      </c>
      <c r="G904" s="26">
        <v>84</v>
      </c>
      <c r="H904" s="26" t="str" cm="1">
        <f t="array" ref="H904">_xlfn.IFS(CallData[[#This Row],[Purchase Amount]]&lt;=50,"Low",CallData[[#This Row],[Purchase Amount]]&lt;=100,"Medium",CallData[[#This Row],[Purchase Amount]]&lt;=150,"High",CallData[[#This Row],[Purchase Amount]]&gt;150,"Very High")</f>
        <v>Medium</v>
      </c>
      <c r="I904" s="23">
        <v>4.5999999999999996</v>
      </c>
      <c r="J904" s="23">
        <f>IF(MONTH('Call Data'!$F904)&lt;=6, YEAR('Call Data'!$F904), YEAR('Call Data'!$F904)+1)</f>
        <v>2024</v>
      </c>
      <c r="K904" s="23" t="str">
        <f>TEXT('Call Data'!$F904,"DDDD")</f>
        <v>Wednesday</v>
      </c>
      <c r="L904" s="23" t="s">
        <v>25</v>
      </c>
      <c r="M904" s="23">
        <f>ROUND('Call Data'!$I904,0)</f>
        <v>5</v>
      </c>
    </row>
    <row r="905" spans="1:13" ht="14.25" customHeight="1" x14ac:dyDescent="0.35">
      <c r="A905" s="23" t="s">
        <v>939</v>
      </c>
      <c r="B905" s="23" t="s">
        <v>16</v>
      </c>
      <c r="C905" s="23">
        <v>108</v>
      </c>
      <c r="D905" s="24" t="str" cm="1">
        <f t="array" ref="D905">_xlfn.IFS(CallData[[#This Row],[Duration]]&lt;=15,"Very short",CallData[[#This Row],[Duration]]&lt;=30,"Short",CallData[[#This Row],[Duration]]&lt;=60,"Medium",CallData[[#This Row],[Duration]]&gt;60,"Long")</f>
        <v>Long</v>
      </c>
      <c r="E905" s="24" t="s">
        <v>31</v>
      </c>
      <c r="F905" s="25">
        <v>45239</v>
      </c>
      <c r="G905" s="26">
        <v>130</v>
      </c>
      <c r="H905" s="26" t="str" cm="1">
        <f t="array" ref="H905">_xlfn.IFS(CallData[[#This Row],[Purchase Amount]]&lt;=50,"Low",CallData[[#This Row],[Purchase Amount]]&lt;=100,"Medium",CallData[[#This Row],[Purchase Amount]]&lt;=150,"High",CallData[[#This Row],[Purchase Amount]]&gt;150,"Very High")</f>
        <v>High</v>
      </c>
      <c r="I905" s="23">
        <v>2.7</v>
      </c>
      <c r="J905" s="23">
        <f>IF(MONTH('Call Data'!$F905)&lt;=6, YEAR('Call Data'!$F905), YEAR('Call Data'!$F905)+1)</f>
        <v>2024</v>
      </c>
      <c r="K905" s="23" t="str">
        <f>TEXT('Call Data'!$F905,"DDDD")</f>
        <v>Thursday</v>
      </c>
      <c r="L905" s="23" t="s">
        <v>14</v>
      </c>
      <c r="M905" s="23">
        <f>ROUND('Call Data'!$I905,0)</f>
        <v>3</v>
      </c>
    </row>
    <row r="906" spans="1:13" ht="14.25" customHeight="1" x14ac:dyDescent="0.35">
      <c r="A906" s="23" t="s">
        <v>940</v>
      </c>
      <c r="B906" s="23" t="s">
        <v>58</v>
      </c>
      <c r="C906" s="23">
        <v>124</v>
      </c>
      <c r="D906" s="24" t="str" cm="1">
        <f t="array" ref="D906">_xlfn.IFS(CallData[[#This Row],[Duration]]&lt;=15,"Very short",CallData[[#This Row],[Duration]]&lt;=30,"Short",CallData[[#This Row],[Duration]]&lt;=60,"Medium",CallData[[#This Row],[Duration]]&gt;60,"Long")</f>
        <v>Long</v>
      </c>
      <c r="E906" s="24" t="s">
        <v>13</v>
      </c>
      <c r="F906" s="25">
        <v>45239</v>
      </c>
      <c r="G906" s="26">
        <v>215</v>
      </c>
      <c r="H906" s="26" t="str" cm="1">
        <f t="array" ref="H906">_xlfn.IFS(CallData[[#This Row],[Purchase Amount]]&lt;=50,"Low",CallData[[#This Row],[Purchase Amount]]&lt;=100,"Medium",CallData[[#This Row],[Purchase Amount]]&lt;=150,"High",CallData[[#This Row],[Purchase Amount]]&gt;150,"Very High")</f>
        <v>Very High</v>
      </c>
      <c r="I906" s="23">
        <v>3.5</v>
      </c>
      <c r="J906" s="23">
        <f>IF(MONTH('Call Data'!$F906)&lt;=6, YEAR('Call Data'!$F906), YEAR('Call Data'!$F906)+1)</f>
        <v>2024</v>
      </c>
      <c r="K906" s="23" t="str">
        <f>TEXT('Call Data'!$F906,"DDDD")</f>
        <v>Thursday</v>
      </c>
      <c r="L906" s="23" t="s">
        <v>25</v>
      </c>
      <c r="M906" s="23">
        <f>ROUND('Call Data'!$I906,0)</f>
        <v>4</v>
      </c>
    </row>
    <row r="907" spans="1:13" ht="14.25" customHeight="1" x14ac:dyDescent="0.35">
      <c r="A907" s="23" t="s">
        <v>941</v>
      </c>
      <c r="B907" s="23" t="s">
        <v>21</v>
      </c>
      <c r="C907" s="23">
        <v>110</v>
      </c>
      <c r="D907" s="24" t="str" cm="1">
        <f t="array" ref="D907">_xlfn.IFS(CallData[[#This Row],[Duration]]&lt;=15,"Very short",CallData[[#This Row],[Duration]]&lt;=30,"Short",CallData[[#This Row],[Duration]]&lt;=60,"Medium",CallData[[#This Row],[Duration]]&gt;60,"Long")</f>
        <v>Long</v>
      </c>
      <c r="E907" s="24" t="s">
        <v>19</v>
      </c>
      <c r="F907" s="25">
        <v>45240</v>
      </c>
      <c r="G907" s="26">
        <v>132</v>
      </c>
      <c r="H907" s="26" t="str" cm="1">
        <f t="array" ref="H907">_xlfn.IFS(CallData[[#This Row],[Purchase Amount]]&lt;=50,"Low",CallData[[#This Row],[Purchase Amount]]&lt;=100,"Medium",CallData[[#This Row],[Purchase Amount]]&lt;=150,"High",CallData[[#This Row],[Purchase Amount]]&gt;150,"Very High")</f>
        <v>High</v>
      </c>
      <c r="I907" s="23">
        <v>3.6</v>
      </c>
      <c r="J907" s="23">
        <f>IF(MONTH('Call Data'!$F907)&lt;=6, YEAR('Call Data'!$F907), YEAR('Call Data'!$F907)+1)</f>
        <v>2024</v>
      </c>
      <c r="K907" s="23" t="str">
        <f>TEXT('Call Data'!$F907,"DDDD")</f>
        <v>Friday</v>
      </c>
      <c r="L907" s="23" t="s">
        <v>14</v>
      </c>
      <c r="M907" s="23">
        <f>ROUND('Call Data'!$I907,0)</f>
        <v>4</v>
      </c>
    </row>
    <row r="908" spans="1:13" ht="14.25" customHeight="1" x14ac:dyDescent="0.35">
      <c r="A908" s="23" t="s">
        <v>942</v>
      </c>
      <c r="B908" s="23" t="s">
        <v>34</v>
      </c>
      <c r="C908" s="23">
        <v>89</v>
      </c>
      <c r="D908" s="24" t="str" cm="1">
        <f t="array" ref="D908">_xlfn.IFS(CallData[[#This Row],[Duration]]&lt;=15,"Very short",CallData[[#This Row],[Duration]]&lt;=30,"Short",CallData[[#This Row],[Duration]]&lt;=60,"Medium",CallData[[#This Row],[Duration]]&gt;60,"Long")</f>
        <v>Long</v>
      </c>
      <c r="E908" s="24" t="s">
        <v>31</v>
      </c>
      <c r="F908" s="25">
        <v>45240</v>
      </c>
      <c r="G908" s="26">
        <v>88</v>
      </c>
      <c r="H908" s="26" t="str" cm="1">
        <f t="array" ref="H908">_xlfn.IFS(CallData[[#This Row],[Purchase Amount]]&lt;=50,"Low",CallData[[#This Row],[Purchase Amount]]&lt;=100,"Medium",CallData[[#This Row],[Purchase Amount]]&lt;=150,"High",CallData[[#This Row],[Purchase Amount]]&gt;150,"Very High")</f>
        <v>Medium</v>
      </c>
      <c r="I908" s="23">
        <v>4.9000000000000004</v>
      </c>
      <c r="J908" s="23">
        <f>IF(MONTH('Call Data'!$F908)&lt;=6, YEAR('Call Data'!$F908), YEAR('Call Data'!$F908)+1)</f>
        <v>2024</v>
      </c>
      <c r="K908" s="23" t="str">
        <f>TEXT('Call Data'!$F908,"DDDD")</f>
        <v>Friday</v>
      </c>
      <c r="L908" s="23" t="s">
        <v>14</v>
      </c>
      <c r="M908" s="23">
        <f>ROUND('Call Data'!$I908,0)</f>
        <v>5</v>
      </c>
    </row>
    <row r="909" spans="1:13" ht="14.25" customHeight="1" x14ac:dyDescent="0.35">
      <c r="A909" s="23" t="s">
        <v>943</v>
      </c>
      <c r="B909" s="23" t="s">
        <v>12</v>
      </c>
      <c r="C909" s="23">
        <v>95</v>
      </c>
      <c r="D909" s="24" t="str" cm="1">
        <f t="array" ref="D909">_xlfn.IFS(CallData[[#This Row],[Duration]]&lt;=15,"Very short",CallData[[#This Row],[Duration]]&lt;=30,"Short",CallData[[#This Row],[Duration]]&lt;=60,"Medium",CallData[[#This Row],[Duration]]&gt;60,"Long")</f>
        <v>Long</v>
      </c>
      <c r="E909" s="24" t="s">
        <v>19</v>
      </c>
      <c r="F909" s="25">
        <v>45240</v>
      </c>
      <c r="G909" s="26">
        <v>140</v>
      </c>
      <c r="H909" s="26" t="str" cm="1">
        <f t="array" ref="H909">_xlfn.IFS(CallData[[#This Row],[Purchase Amount]]&lt;=50,"Low",CallData[[#This Row],[Purchase Amount]]&lt;=100,"Medium",CallData[[#This Row],[Purchase Amount]]&lt;=150,"High",CallData[[#This Row],[Purchase Amount]]&gt;150,"Very High")</f>
        <v>High</v>
      </c>
      <c r="I909" s="23">
        <v>3.9</v>
      </c>
      <c r="J909" s="23">
        <f>IF(MONTH('Call Data'!$F909)&lt;=6, YEAR('Call Data'!$F909), YEAR('Call Data'!$F909)+1)</f>
        <v>2024</v>
      </c>
      <c r="K909" s="23" t="str">
        <f>TEXT('Call Data'!$F909,"DDDD")</f>
        <v>Friday</v>
      </c>
      <c r="L909" s="23" t="s">
        <v>14</v>
      </c>
      <c r="M909" s="23">
        <f>ROUND('Call Data'!$I909,0)</f>
        <v>4</v>
      </c>
    </row>
    <row r="910" spans="1:13" ht="14.25" customHeight="1" x14ac:dyDescent="0.35">
      <c r="A910" s="23" t="s">
        <v>944</v>
      </c>
      <c r="B910" s="23" t="s">
        <v>55</v>
      </c>
      <c r="C910" s="23">
        <v>84</v>
      </c>
      <c r="D910" s="24" t="str" cm="1">
        <f t="array" ref="D910">_xlfn.IFS(CallData[[#This Row],[Duration]]&lt;=15,"Very short",CallData[[#This Row],[Duration]]&lt;=30,"Short",CallData[[#This Row],[Duration]]&lt;=60,"Medium",CallData[[#This Row],[Duration]]&gt;60,"Long")</f>
        <v>Long</v>
      </c>
      <c r="E910" s="24" t="s">
        <v>31</v>
      </c>
      <c r="F910" s="25">
        <v>45241</v>
      </c>
      <c r="G910" s="26">
        <v>66</v>
      </c>
      <c r="H910" s="26" t="str" cm="1">
        <f t="array" ref="H910">_xlfn.IFS(CallData[[#This Row],[Purchase Amount]]&lt;=50,"Low",CallData[[#This Row],[Purchase Amount]]&lt;=100,"Medium",CallData[[#This Row],[Purchase Amount]]&lt;=150,"High",CallData[[#This Row],[Purchase Amount]]&gt;150,"Very High")</f>
        <v>Medium</v>
      </c>
      <c r="I910" s="23">
        <v>4.7</v>
      </c>
      <c r="J910" s="23">
        <f>IF(MONTH('Call Data'!$F910)&lt;=6, YEAR('Call Data'!$F910), YEAR('Call Data'!$F910)+1)</f>
        <v>2024</v>
      </c>
      <c r="K910" s="23" t="str">
        <f>TEXT('Call Data'!$F910,"DDDD")</f>
        <v>Saturday</v>
      </c>
      <c r="L910" s="23" t="s">
        <v>14</v>
      </c>
      <c r="M910" s="23">
        <f>ROUND('Call Data'!$I910,0)</f>
        <v>5</v>
      </c>
    </row>
    <row r="911" spans="1:13" ht="14.25" customHeight="1" x14ac:dyDescent="0.35">
      <c r="A911" s="23" t="s">
        <v>945</v>
      </c>
      <c r="B911" s="23" t="s">
        <v>40</v>
      </c>
      <c r="C911" s="23">
        <v>89</v>
      </c>
      <c r="D911" s="24" t="str" cm="1">
        <f t="array" ref="D911">_xlfn.IFS(CallData[[#This Row],[Duration]]&lt;=15,"Very short",CallData[[#This Row],[Duration]]&lt;=30,"Short",CallData[[#This Row],[Duration]]&lt;=60,"Medium",CallData[[#This Row],[Duration]]&gt;60,"Long")</f>
        <v>Long</v>
      </c>
      <c r="E911" s="24" t="s">
        <v>13</v>
      </c>
      <c r="F911" s="25">
        <v>45241</v>
      </c>
      <c r="G911" s="26">
        <v>23</v>
      </c>
      <c r="H911" s="26" t="str" cm="1">
        <f t="array" ref="H911">_xlfn.IFS(CallData[[#This Row],[Purchase Amount]]&lt;=50,"Low",CallData[[#This Row],[Purchase Amount]]&lt;=100,"Medium",CallData[[#This Row],[Purchase Amount]]&lt;=150,"High",CallData[[#This Row],[Purchase Amount]]&gt;150,"Very High")</f>
        <v>Low</v>
      </c>
      <c r="I911" s="23">
        <v>4.5</v>
      </c>
      <c r="J911" s="23">
        <f>IF(MONTH('Call Data'!$F911)&lt;=6, YEAR('Call Data'!$F911), YEAR('Call Data'!$F911)+1)</f>
        <v>2024</v>
      </c>
      <c r="K911" s="23" t="str">
        <f>TEXT('Call Data'!$F911,"DDDD")</f>
        <v>Saturday</v>
      </c>
      <c r="L911" s="23" t="s">
        <v>14</v>
      </c>
      <c r="M911" s="23">
        <f>ROUND('Call Data'!$I911,0)</f>
        <v>5</v>
      </c>
    </row>
    <row r="912" spans="1:13" ht="14.25" customHeight="1" x14ac:dyDescent="0.35">
      <c r="A912" s="23" t="s">
        <v>946</v>
      </c>
      <c r="B912" s="23" t="s">
        <v>34</v>
      </c>
      <c r="C912" s="23">
        <v>146</v>
      </c>
      <c r="D912" s="24" t="str" cm="1">
        <f t="array" ref="D912">_xlfn.IFS(CallData[[#This Row],[Duration]]&lt;=15,"Very short",CallData[[#This Row],[Duration]]&lt;=30,"Short",CallData[[#This Row],[Duration]]&lt;=60,"Medium",CallData[[#This Row],[Duration]]&gt;60,"Long")</f>
        <v>Long</v>
      </c>
      <c r="E912" s="24" t="s">
        <v>13</v>
      </c>
      <c r="F912" s="25">
        <v>45242</v>
      </c>
      <c r="G912" s="26">
        <v>220</v>
      </c>
      <c r="H912" s="26" t="str" cm="1">
        <f t="array" ref="H912">_xlfn.IFS(CallData[[#This Row],[Purchase Amount]]&lt;=50,"Low",CallData[[#This Row],[Purchase Amount]]&lt;=100,"Medium",CallData[[#This Row],[Purchase Amount]]&lt;=150,"High",CallData[[#This Row],[Purchase Amount]]&gt;150,"Very High")</f>
        <v>Very High</v>
      </c>
      <c r="I912" s="23">
        <v>4.5</v>
      </c>
      <c r="J912" s="23">
        <f>IF(MONTH('Call Data'!$F912)&lt;=6, YEAR('Call Data'!$F912), YEAR('Call Data'!$F912)+1)</f>
        <v>2024</v>
      </c>
      <c r="K912" s="23" t="str">
        <f>TEXT('Call Data'!$F912,"DDDD")</f>
        <v>Sunday</v>
      </c>
      <c r="L912" s="23" t="s">
        <v>25</v>
      </c>
      <c r="M912" s="23">
        <f>ROUND('Call Data'!$I912,0)</f>
        <v>5</v>
      </c>
    </row>
    <row r="913" spans="1:13" ht="14.25" customHeight="1" x14ac:dyDescent="0.35">
      <c r="A913" s="23" t="s">
        <v>947</v>
      </c>
      <c r="B913" s="23" t="s">
        <v>38</v>
      </c>
      <c r="C913" s="23">
        <v>62</v>
      </c>
      <c r="D913" s="24" t="str" cm="1">
        <f t="array" ref="D913">_xlfn.IFS(CallData[[#This Row],[Duration]]&lt;=15,"Very short",CallData[[#This Row],[Duration]]&lt;=30,"Short",CallData[[#This Row],[Duration]]&lt;=60,"Medium",CallData[[#This Row],[Duration]]&gt;60,"Long")</f>
        <v>Long</v>
      </c>
      <c r="E913" s="24" t="s">
        <v>35</v>
      </c>
      <c r="F913" s="25">
        <v>45243</v>
      </c>
      <c r="G913" s="26">
        <v>175</v>
      </c>
      <c r="H913" s="26" t="str" cm="1">
        <f t="array" ref="H913">_xlfn.IFS(CallData[[#This Row],[Purchase Amount]]&lt;=50,"Low",CallData[[#This Row],[Purchase Amount]]&lt;=100,"Medium",CallData[[#This Row],[Purchase Amount]]&lt;=150,"High",CallData[[#This Row],[Purchase Amount]]&gt;150,"Very High")</f>
        <v>Very High</v>
      </c>
      <c r="I913" s="23">
        <v>4.4000000000000004</v>
      </c>
      <c r="J913" s="23">
        <f>IF(MONTH('Call Data'!$F913)&lt;=6, YEAR('Call Data'!$F913), YEAR('Call Data'!$F913)+1)</f>
        <v>2024</v>
      </c>
      <c r="K913" s="23" t="str">
        <f>TEXT('Call Data'!$F913,"DDDD")</f>
        <v>Monday</v>
      </c>
      <c r="L913" s="23" t="s">
        <v>14</v>
      </c>
      <c r="M913" s="23">
        <f>ROUND('Call Data'!$I913,0)</f>
        <v>4</v>
      </c>
    </row>
    <row r="914" spans="1:13" ht="14.25" customHeight="1" x14ac:dyDescent="0.35">
      <c r="A914" s="23" t="s">
        <v>948</v>
      </c>
      <c r="B914" s="23" t="s">
        <v>68</v>
      </c>
      <c r="C914" s="23">
        <v>82</v>
      </c>
      <c r="D914" s="24" t="str" cm="1">
        <f t="array" ref="D914">_xlfn.IFS(CallData[[#This Row],[Duration]]&lt;=15,"Very short",CallData[[#This Row],[Duration]]&lt;=30,"Short",CallData[[#This Row],[Duration]]&lt;=60,"Medium",CallData[[#This Row],[Duration]]&gt;60,"Long")</f>
        <v>Long</v>
      </c>
      <c r="E914" s="24" t="s">
        <v>13</v>
      </c>
      <c r="F914" s="25">
        <v>45243</v>
      </c>
      <c r="G914" s="26">
        <v>172</v>
      </c>
      <c r="H914" s="26" t="str" cm="1">
        <f t="array" ref="H914">_xlfn.IFS(CallData[[#This Row],[Purchase Amount]]&lt;=50,"Low",CallData[[#This Row],[Purchase Amount]]&lt;=100,"Medium",CallData[[#This Row],[Purchase Amount]]&lt;=150,"High",CallData[[#This Row],[Purchase Amount]]&gt;150,"Very High")</f>
        <v>Very High</v>
      </c>
      <c r="I914" s="23">
        <v>4.0999999999999996</v>
      </c>
      <c r="J914" s="23">
        <f>IF(MONTH('Call Data'!$F914)&lt;=6, YEAR('Call Data'!$F914), YEAR('Call Data'!$F914)+1)</f>
        <v>2024</v>
      </c>
      <c r="K914" s="23" t="str">
        <f>TEXT('Call Data'!$F914,"DDDD")</f>
        <v>Monday</v>
      </c>
      <c r="L914" s="23" t="s">
        <v>14</v>
      </c>
      <c r="M914" s="23">
        <f>ROUND('Call Data'!$I914,0)</f>
        <v>4</v>
      </c>
    </row>
    <row r="915" spans="1:13" ht="14.25" customHeight="1" x14ac:dyDescent="0.35">
      <c r="A915" s="23" t="s">
        <v>949</v>
      </c>
      <c r="B915" s="23" t="s">
        <v>46</v>
      </c>
      <c r="C915" s="23">
        <v>91</v>
      </c>
      <c r="D915" s="24" t="str" cm="1">
        <f t="array" ref="D915">_xlfn.IFS(CallData[[#This Row],[Duration]]&lt;=15,"Very short",CallData[[#This Row],[Duration]]&lt;=30,"Short",CallData[[#This Row],[Duration]]&lt;=60,"Medium",CallData[[#This Row],[Duration]]&gt;60,"Long")</f>
        <v>Long</v>
      </c>
      <c r="E915" s="24" t="s">
        <v>24</v>
      </c>
      <c r="F915" s="25">
        <v>45243</v>
      </c>
      <c r="G915" s="26">
        <v>108</v>
      </c>
      <c r="H915" s="26" t="str" cm="1">
        <f t="array" ref="H915">_xlfn.IFS(CallData[[#This Row],[Purchase Amount]]&lt;=50,"Low",CallData[[#This Row],[Purchase Amount]]&lt;=100,"Medium",CallData[[#This Row],[Purchase Amount]]&lt;=150,"High",CallData[[#This Row],[Purchase Amount]]&gt;150,"Very High")</f>
        <v>High</v>
      </c>
      <c r="I915" s="23">
        <v>3.8</v>
      </c>
      <c r="J915" s="23">
        <f>IF(MONTH('Call Data'!$F915)&lt;=6, YEAR('Call Data'!$F915), YEAR('Call Data'!$F915)+1)</f>
        <v>2024</v>
      </c>
      <c r="K915" s="23" t="str">
        <f>TEXT('Call Data'!$F915,"DDDD")</f>
        <v>Monday</v>
      </c>
      <c r="L915" s="23" t="s">
        <v>14</v>
      </c>
      <c r="M915" s="23">
        <f>ROUND('Call Data'!$I915,0)</f>
        <v>4</v>
      </c>
    </row>
    <row r="916" spans="1:13" ht="14.25" customHeight="1" x14ac:dyDescent="0.35">
      <c r="A916" s="23" t="s">
        <v>950</v>
      </c>
      <c r="B916" s="23" t="s">
        <v>40</v>
      </c>
      <c r="C916" s="23">
        <v>39</v>
      </c>
      <c r="D916" s="24" t="str" cm="1">
        <f t="array" ref="D916">_xlfn.IFS(CallData[[#This Row],[Duration]]&lt;=15,"Very short",CallData[[#This Row],[Duration]]&lt;=30,"Short",CallData[[#This Row],[Duration]]&lt;=60,"Medium",CallData[[#This Row],[Duration]]&gt;60,"Long")</f>
        <v>Medium</v>
      </c>
      <c r="E916" s="24" t="s">
        <v>13</v>
      </c>
      <c r="F916" s="25">
        <v>45244</v>
      </c>
      <c r="G916" s="26">
        <v>43</v>
      </c>
      <c r="H916" s="26" t="str" cm="1">
        <f t="array" ref="H916">_xlfn.IFS(CallData[[#This Row],[Purchase Amount]]&lt;=50,"Low",CallData[[#This Row],[Purchase Amount]]&lt;=100,"Medium",CallData[[#This Row],[Purchase Amount]]&lt;=150,"High",CallData[[#This Row],[Purchase Amount]]&gt;150,"Very High")</f>
        <v>Low</v>
      </c>
      <c r="I916" s="23">
        <v>4.2</v>
      </c>
      <c r="J916" s="23">
        <f>IF(MONTH('Call Data'!$F916)&lt;=6, YEAR('Call Data'!$F916), YEAR('Call Data'!$F916)+1)</f>
        <v>2024</v>
      </c>
      <c r="K916" s="23" t="str">
        <f>TEXT('Call Data'!$F916,"DDDD")</f>
        <v>Tuesday</v>
      </c>
      <c r="L916" s="23" t="s">
        <v>27</v>
      </c>
      <c r="M916" s="23">
        <f>ROUND('Call Data'!$I916,0)</f>
        <v>4</v>
      </c>
    </row>
    <row r="917" spans="1:13" ht="14.25" customHeight="1" x14ac:dyDescent="0.35">
      <c r="A917" s="23" t="s">
        <v>951</v>
      </c>
      <c r="B917" s="23" t="s">
        <v>34</v>
      </c>
      <c r="C917" s="23">
        <v>149</v>
      </c>
      <c r="D917" s="24" t="str" cm="1">
        <f t="array" ref="D917">_xlfn.IFS(CallData[[#This Row],[Duration]]&lt;=15,"Very short",CallData[[#This Row],[Duration]]&lt;=30,"Short",CallData[[#This Row],[Duration]]&lt;=60,"Medium",CallData[[#This Row],[Duration]]&gt;60,"Long")</f>
        <v>Long</v>
      </c>
      <c r="E917" s="24" t="s">
        <v>19</v>
      </c>
      <c r="F917" s="25">
        <v>45244</v>
      </c>
      <c r="G917" s="26">
        <v>44</v>
      </c>
      <c r="H917" s="26" t="str" cm="1">
        <f t="array" ref="H917">_xlfn.IFS(CallData[[#This Row],[Purchase Amount]]&lt;=50,"Low",CallData[[#This Row],[Purchase Amount]]&lt;=100,"Medium",CallData[[#This Row],[Purchase Amount]]&lt;=150,"High",CallData[[#This Row],[Purchase Amount]]&gt;150,"Very High")</f>
        <v>Low</v>
      </c>
      <c r="I917" s="23">
        <v>2.2000000000000002</v>
      </c>
      <c r="J917" s="23">
        <f>IF(MONTH('Call Data'!$F917)&lt;=6, YEAR('Call Data'!$F917), YEAR('Call Data'!$F917)+1)</f>
        <v>2024</v>
      </c>
      <c r="K917" s="23" t="str">
        <f>TEXT('Call Data'!$F917,"DDDD")</f>
        <v>Tuesday</v>
      </c>
      <c r="L917" s="23" t="s">
        <v>25</v>
      </c>
      <c r="M917" s="23">
        <f>ROUND('Call Data'!$I917,0)</f>
        <v>2</v>
      </c>
    </row>
    <row r="918" spans="1:13" ht="14.25" customHeight="1" x14ac:dyDescent="0.35">
      <c r="A918" s="23" t="s">
        <v>952</v>
      </c>
      <c r="B918" s="23" t="s">
        <v>68</v>
      </c>
      <c r="C918" s="23">
        <v>138</v>
      </c>
      <c r="D918" s="24" t="str" cm="1">
        <f t="array" ref="D918">_xlfn.IFS(CallData[[#This Row],[Duration]]&lt;=15,"Very short",CallData[[#This Row],[Duration]]&lt;=30,"Short",CallData[[#This Row],[Duration]]&lt;=60,"Medium",CallData[[#This Row],[Duration]]&gt;60,"Long")</f>
        <v>Long</v>
      </c>
      <c r="E918" s="24" t="s">
        <v>35</v>
      </c>
      <c r="F918" s="25">
        <v>45244</v>
      </c>
      <c r="G918" s="26">
        <v>105</v>
      </c>
      <c r="H918" s="26" t="str" cm="1">
        <f t="array" ref="H918">_xlfn.IFS(CallData[[#This Row],[Purchase Amount]]&lt;=50,"Low",CallData[[#This Row],[Purchase Amount]]&lt;=100,"Medium",CallData[[#This Row],[Purchase Amount]]&lt;=150,"High",CallData[[#This Row],[Purchase Amount]]&gt;150,"Very High")</f>
        <v>High</v>
      </c>
      <c r="I918" s="23">
        <v>3.9</v>
      </c>
      <c r="J918" s="23">
        <f>IF(MONTH('Call Data'!$F918)&lt;=6, YEAR('Call Data'!$F918), YEAR('Call Data'!$F918)+1)</f>
        <v>2024</v>
      </c>
      <c r="K918" s="23" t="str">
        <f>TEXT('Call Data'!$F918,"DDDD")</f>
        <v>Tuesday</v>
      </c>
      <c r="L918" s="23" t="s">
        <v>25</v>
      </c>
      <c r="M918" s="23">
        <f>ROUND('Call Data'!$I918,0)</f>
        <v>4</v>
      </c>
    </row>
    <row r="919" spans="1:13" ht="14.25" customHeight="1" x14ac:dyDescent="0.35">
      <c r="A919" s="23" t="s">
        <v>953</v>
      </c>
      <c r="B919" s="23" t="s">
        <v>38</v>
      </c>
      <c r="C919" s="23">
        <v>113</v>
      </c>
      <c r="D919" s="24" t="str" cm="1">
        <f t="array" ref="D919">_xlfn.IFS(CallData[[#This Row],[Duration]]&lt;=15,"Very short",CallData[[#This Row],[Duration]]&lt;=30,"Short",CallData[[#This Row],[Duration]]&lt;=60,"Medium",CallData[[#This Row],[Duration]]&gt;60,"Long")</f>
        <v>Long</v>
      </c>
      <c r="E919" s="24" t="s">
        <v>19</v>
      </c>
      <c r="F919" s="25">
        <v>45245</v>
      </c>
      <c r="G919" s="26">
        <v>34</v>
      </c>
      <c r="H919" s="26" t="str" cm="1">
        <f t="array" ref="H919">_xlfn.IFS(CallData[[#This Row],[Purchase Amount]]&lt;=50,"Low",CallData[[#This Row],[Purchase Amount]]&lt;=100,"Medium",CallData[[#This Row],[Purchase Amount]]&lt;=150,"High",CallData[[#This Row],[Purchase Amount]]&gt;150,"Very High")</f>
        <v>Low</v>
      </c>
      <c r="I919" s="23">
        <v>3.9</v>
      </c>
      <c r="J919" s="23">
        <f>IF(MONTH('Call Data'!$F919)&lt;=6, YEAR('Call Data'!$F919), YEAR('Call Data'!$F919)+1)</f>
        <v>2024</v>
      </c>
      <c r="K919" s="23" t="str">
        <f>TEXT('Call Data'!$F919,"DDDD")</f>
        <v>Wednesday</v>
      </c>
      <c r="L919" s="23" t="s">
        <v>14</v>
      </c>
      <c r="M919" s="23">
        <f>ROUND('Call Data'!$I919,0)</f>
        <v>4</v>
      </c>
    </row>
    <row r="920" spans="1:13" ht="14.25" customHeight="1" x14ac:dyDescent="0.35">
      <c r="A920" s="23" t="s">
        <v>954</v>
      </c>
      <c r="B920" s="23" t="s">
        <v>23</v>
      </c>
      <c r="C920" s="23">
        <v>88</v>
      </c>
      <c r="D920" s="24" t="str" cm="1">
        <f t="array" ref="D920">_xlfn.IFS(CallData[[#This Row],[Duration]]&lt;=15,"Very short",CallData[[#This Row],[Duration]]&lt;=30,"Short",CallData[[#This Row],[Duration]]&lt;=60,"Medium",CallData[[#This Row],[Duration]]&gt;60,"Long")</f>
        <v>Long</v>
      </c>
      <c r="E920" s="24" t="s">
        <v>13</v>
      </c>
      <c r="F920" s="25">
        <v>45245</v>
      </c>
      <c r="G920" s="26">
        <v>220</v>
      </c>
      <c r="H920" s="26" t="str" cm="1">
        <f t="array" ref="H920">_xlfn.IFS(CallData[[#This Row],[Purchase Amount]]&lt;=50,"Low",CallData[[#This Row],[Purchase Amount]]&lt;=100,"Medium",CallData[[#This Row],[Purchase Amount]]&lt;=150,"High",CallData[[#This Row],[Purchase Amount]]&gt;150,"Very High")</f>
        <v>Very High</v>
      </c>
      <c r="I920" s="23">
        <v>4.0999999999999996</v>
      </c>
      <c r="J920" s="23">
        <f>IF(MONTH('Call Data'!$F920)&lt;=6, YEAR('Call Data'!$F920), YEAR('Call Data'!$F920)+1)</f>
        <v>2024</v>
      </c>
      <c r="K920" s="23" t="str">
        <f>TEXT('Call Data'!$F920,"DDDD")</f>
        <v>Wednesday</v>
      </c>
      <c r="L920" s="23" t="s">
        <v>14</v>
      </c>
      <c r="M920" s="23">
        <f>ROUND('Call Data'!$I920,0)</f>
        <v>4</v>
      </c>
    </row>
    <row r="921" spans="1:13" ht="14.25" customHeight="1" x14ac:dyDescent="0.35">
      <c r="A921" s="23" t="s">
        <v>955</v>
      </c>
      <c r="B921" s="23" t="s">
        <v>12</v>
      </c>
      <c r="C921" s="23">
        <v>64</v>
      </c>
      <c r="D921" s="24" t="str" cm="1">
        <f t="array" ref="D921">_xlfn.IFS(CallData[[#This Row],[Duration]]&lt;=15,"Very short",CallData[[#This Row],[Duration]]&lt;=30,"Short",CallData[[#This Row],[Duration]]&lt;=60,"Medium",CallData[[#This Row],[Duration]]&gt;60,"Long")</f>
        <v>Long</v>
      </c>
      <c r="E921" s="24" t="s">
        <v>35</v>
      </c>
      <c r="F921" s="25">
        <v>45245</v>
      </c>
      <c r="G921" s="26">
        <v>225</v>
      </c>
      <c r="H921" s="26" t="str" cm="1">
        <f t="array" ref="H921">_xlfn.IFS(CallData[[#This Row],[Purchase Amount]]&lt;=50,"Low",CallData[[#This Row],[Purchase Amount]]&lt;=100,"Medium",CallData[[#This Row],[Purchase Amount]]&lt;=150,"High",CallData[[#This Row],[Purchase Amount]]&gt;150,"Very High")</f>
        <v>Very High</v>
      </c>
      <c r="I921" s="23">
        <v>4.5999999999999996</v>
      </c>
      <c r="J921" s="23">
        <f>IF(MONTH('Call Data'!$F921)&lt;=6, YEAR('Call Data'!$F921), YEAR('Call Data'!$F921)+1)</f>
        <v>2024</v>
      </c>
      <c r="K921" s="23" t="str">
        <f>TEXT('Call Data'!$F921,"DDDD")</f>
        <v>Wednesday</v>
      </c>
      <c r="L921" s="23" t="s">
        <v>14</v>
      </c>
      <c r="M921" s="23">
        <f>ROUND('Call Data'!$I921,0)</f>
        <v>5</v>
      </c>
    </row>
    <row r="922" spans="1:13" ht="14.25" customHeight="1" x14ac:dyDescent="0.35">
      <c r="A922" s="23" t="s">
        <v>956</v>
      </c>
      <c r="B922" s="23" t="s">
        <v>18</v>
      </c>
      <c r="C922" s="23">
        <v>53</v>
      </c>
      <c r="D922" s="24" t="str" cm="1">
        <f t="array" ref="D922">_xlfn.IFS(CallData[[#This Row],[Duration]]&lt;=15,"Very short",CallData[[#This Row],[Duration]]&lt;=30,"Short",CallData[[#This Row],[Duration]]&lt;=60,"Medium",CallData[[#This Row],[Duration]]&gt;60,"Long")</f>
        <v>Medium</v>
      </c>
      <c r="E922" s="24" t="s">
        <v>35</v>
      </c>
      <c r="F922" s="25">
        <v>45246</v>
      </c>
      <c r="G922" s="26">
        <v>37</v>
      </c>
      <c r="H922" s="26" t="str" cm="1">
        <f t="array" ref="H922">_xlfn.IFS(CallData[[#This Row],[Purchase Amount]]&lt;=50,"Low",CallData[[#This Row],[Purchase Amount]]&lt;=100,"Medium",CallData[[#This Row],[Purchase Amount]]&lt;=150,"High",CallData[[#This Row],[Purchase Amount]]&gt;150,"Very High")</f>
        <v>Low</v>
      </c>
      <c r="I922" s="23">
        <v>4.0999999999999996</v>
      </c>
      <c r="J922" s="23">
        <f>IF(MONTH('Call Data'!$F922)&lt;=6, YEAR('Call Data'!$F922), YEAR('Call Data'!$F922)+1)</f>
        <v>2024</v>
      </c>
      <c r="K922" s="23" t="str">
        <f>TEXT('Call Data'!$F922,"DDDD")</f>
        <v>Thursday</v>
      </c>
      <c r="L922" s="23" t="s">
        <v>27</v>
      </c>
      <c r="M922" s="23">
        <f>ROUND('Call Data'!$I922,0)</f>
        <v>4</v>
      </c>
    </row>
    <row r="923" spans="1:13" ht="14.25" customHeight="1" x14ac:dyDescent="0.35">
      <c r="A923" s="23" t="s">
        <v>957</v>
      </c>
      <c r="B923" s="23" t="s">
        <v>58</v>
      </c>
      <c r="C923" s="23">
        <v>63</v>
      </c>
      <c r="D923" s="24" t="str" cm="1">
        <f t="array" ref="D923">_xlfn.IFS(CallData[[#This Row],[Duration]]&lt;=15,"Very short",CallData[[#This Row],[Duration]]&lt;=30,"Short",CallData[[#This Row],[Duration]]&lt;=60,"Medium",CallData[[#This Row],[Duration]]&gt;60,"Long")</f>
        <v>Long</v>
      </c>
      <c r="E923" s="24" t="s">
        <v>19</v>
      </c>
      <c r="F923" s="25">
        <v>45246</v>
      </c>
      <c r="G923" s="26">
        <v>44</v>
      </c>
      <c r="H923" s="26" t="str" cm="1">
        <f t="array" ref="H923">_xlfn.IFS(CallData[[#This Row],[Purchase Amount]]&lt;=50,"Low",CallData[[#This Row],[Purchase Amount]]&lt;=100,"Medium",CallData[[#This Row],[Purchase Amount]]&lt;=150,"High",CallData[[#This Row],[Purchase Amount]]&gt;150,"Very High")</f>
        <v>Low</v>
      </c>
      <c r="I923" s="23">
        <v>5</v>
      </c>
      <c r="J923" s="23">
        <f>IF(MONTH('Call Data'!$F923)&lt;=6, YEAR('Call Data'!$F923), YEAR('Call Data'!$F923)+1)</f>
        <v>2024</v>
      </c>
      <c r="K923" s="23" t="str">
        <f>TEXT('Call Data'!$F923,"DDDD")</f>
        <v>Thursday</v>
      </c>
      <c r="L923" s="23" t="s">
        <v>14</v>
      </c>
      <c r="M923" s="23">
        <f>ROUND('Call Data'!$I923,0)</f>
        <v>5</v>
      </c>
    </row>
    <row r="924" spans="1:13" ht="14.25" customHeight="1" x14ac:dyDescent="0.35">
      <c r="A924" s="23" t="s">
        <v>958</v>
      </c>
      <c r="B924" s="23" t="s">
        <v>29</v>
      </c>
      <c r="C924" s="23">
        <v>54</v>
      </c>
      <c r="D924" s="24" t="str" cm="1">
        <f t="array" ref="D924">_xlfn.IFS(CallData[[#This Row],[Duration]]&lt;=15,"Very short",CallData[[#This Row],[Duration]]&lt;=30,"Short",CallData[[#This Row],[Duration]]&lt;=60,"Medium",CallData[[#This Row],[Duration]]&gt;60,"Long")</f>
        <v>Medium</v>
      </c>
      <c r="E924" s="24" t="s">
        <v>19</v>
      </c>
      <c r="F924" s="25">
        <v>45247</v>
      </c>
      <c r="G924" s="26">
        <v>35</v>
      </c>
      <c r="H924" s="26" t="str" cm="1">
        <f t="array" ref="H924">_xlfn.IFS(CallData[[#This Row],[Purchase Amount]]&lt;=50,"Low",CallData[[#This Row],[Purchase Amount]]&lt;=100,"Medium",CallData[[#This Row],[Purchase Amount]]&lt;=150,"High",CallData[[#This Row],[Purchase Amount]]&gt;150,"Very High")</f>
        <v>Low</v>
      </c>
      <c r="I924" s="23">
        <v>2.8</v>
      </c>
      <c r="J924" s="23">
        <f>IF(MONTH('Call Data'!$F924)&lt;=6, YEAR('Call Data'!$F924), YEAR('Call Data'!$F924)+1)</f>
        <v>2024</v>
      </c>
      <c r="K924" s="23" t="str">
        <f>TEXT('Call Data'!$F924,"DDDD")</f>
        <v>Friday</v>
      </c>
      <c r="L924" s="23" t="s">
        <v>27</v>
      </c>
      <c r="M924" s="23">
        <f>ROUND('Call Data'!$I924,0)</f>
        <v>3</v>
      </c>
    </row>
    <row r="925" spans="1:13" ht="14.25" customHeight="1" x14ac:dyDescent="0.35">
      <c r="A925" s="23" t="s">
        <v>959</v>
      </c>
      <c r="B925" s="23" t="s">
        <v>58</v>
      </c>
      <c r="C925" s="23">
        <v>54</v>
      </c>
      <c r="D925" s="24" t="str" cm="1">
        <f t="array" ref="D925">_xlfn.IFS(CallData[[#This Row],[Duration]]&lt;=15,"Very short",CallData[[#This Row],[Duration]]&lt;=30,"Short",CallData[[#This Row],[Duration]]&lt;=60,"Medium",CallData[[#This Row],[Duration]]&gt;60,"Long")</f>
        <v>Medium</v>
      </c>
      <c r="E925" s="24" t="s">
        <v>13</v>
      </c>
      <c r="F925" s="25">
        <v>45247</v>
      </c>
      <c r="G925" s="26">
        <v>145</v>
      </c>
      <c r="H925" s="26" t="str" cm="1">
        <f t="array" ref="H925">_xlfn.IFS(CallData[[#This Row],[Purchase Amount]]&lt;=50,"Low",CallData[[#This Row],[Purchase Amount]]&lt;=100,"Medium",CallData[[#This Row],[Purchase Amount]]&lt;=150,"High",CallData[[#This Row],[Purchase Amount]]&gt;150,"Very High")</f>
        <v>High</v>
      </c>
      <c r="I925" s="23">
        <v>2.7</v>
      </c>
      <c r="J925" s="23">
        <f>IF(MONTH('Call Data'!$F925)&lt;=6, YEAR('Call Data'!$F925), YEAR('Call Data'!$F925)+1)</f>
        <v>2024</v>
      </c>
      <c r="K925" s="23" t="str">
        <f>TEXT('Call Data'!$F925,"DDDD")</f>
        <v>Friday</v>
      </c>
      <c r="L925" s="23" t="s">
        <v>27</v>
      </c>
      <c r="M925" s="23">
        <f>ROUND('Call Data'!$I925,0)</f>
        <v>3</v>
      </c>
    </row>
    <row r="926" spans="1:13" ht="14.25" customHeight="1" x14ac:dyDescent="0.35">
      <c r="A926" s="23" t="s">
        <v>960</v>
      </c>
      <c r="B926" s="23" t="s">
        <v>34</v>
      </c>
      <c r="C926" s="23">
        <v>71</v>
      </c>
      <c r="D926" s="24" t="str" cm="1">
        <f t="array" ref="D926">_xlfn.IFS(CallData[[#This Row],[Duration]]&lt;=15,"Very short",CallData[[#This Row],[Duration]]&lt;=30,"Short",CallData[[#This Row],[Duration]]&lt;=60,"Medium",CallData[[#This Row],[Duration]]&gt;60,"Long")</f>
        <v>Long</v>
      </c>
      <c r="E926" s="24" t="s">
        <v>35</v>
      </c>
      <c r="F926" s="25">
        <v>45247</v>
      </c>
      <c r="G926" s="26">
        <v>64</v>
      </c>
      <c r="H926" s="26" t="str" cm="1">
        <f t="array" ref="H926">_xlfn.IFS(CallData[[#This Row],[Purchase Amount]]&lt;=50,"Low",CallData[[#This Row],[Purchase Amount]]&lt;=100,"Medium",CallData[[#This Row],[Purchase Amount]]&lt;=150,"High",CallData[[#This Row],[Purchase Amount]]&gt;150,"Very High")</f>
        <v>Medium</v>
      </c>
      <c r="I926" s="23">
        <v>3.9</v>
      </c>
      <c r="J926" s="23">
        <f>IF(MONTH('Call Data'!$F926)&lt;=6, YEAR('Call Data'!$F926), YEAR('Call Data'!$F926)+1)</f>
        <v>2024</v>
      </c>
      <c r="K926" s="23" t="str">
        <f>TEXT('Call Data'!$F926,"DDDD")</f>
        <v>Friday</v>
      </c>
      <c r="L926" s="23" t="s">
        <v>14</v>
      </c>
      <c r="M926" s="23">
        <f>ROUND('Call Data'!$I926,0)</f>
        <v>4</v>
      </c>
    </row>
    <row r="927" spans="1:13" ht="14.25" customHeight="1" x14ac:dyDescent="0.35">
      <c r="A927" s="23" t="s">
        <v>961</v>
      </c>
      <c r="B927" s="23" t="s">
        <v>58</v>
      </c>
      <c r="C927" s="23">
        <v>93</v>
      </c>
      <c r="D927" s="24" t="str" cm="1">
        <f t="array" ref="D927">_xlfn.IFS(CallData[[#This Row],[Duration]]&lt;=15,"Very short",CallData[[#This Row],[Duration]]&lt;=30,"Short",CallData[[#This Row],[Duration]]&lt;=60,"Medium",CallData[[#This Row],[Duration]]&gt;60,"Long")</f>
        <v>Long</v>
      </c>
      <c r="E927" s="24" t="s">
        <v>13</v>
      </c>
      <c r="F927" s="25">
        <v>45248</v>
      </c>
      <c r="G927" s="26">
        <v>185</v>
      </c>
      <c r="H927" s="26" t="str" cm="1">
        <f t="array" ref="H927">_xlfn.IFS(CallData[[#This Row],[Purchase Amount]]&lt;=50,"Low",CallData[[#This Row],[Purchase Amount]]&lt;=100,"Medium",CallData[[#This Row],[Purchase Amount]]&lt;=150,"High",CallData[[#This Row],[Purchase Amount]]&gt;150,"Very High")</f>
        <v>Very High</v>
      </c>
      <c r="I927" s="23">
        <v>4.3</v>
      </c>
      <c r="J927" s="23">
        <f>IF(MONTH('Call Data'!$F927)&lt;=6, YEAR('Call Data'!$F927), YEAR('Call Data'!$F927)+1)</f>
        <v>2024</v>
      </c>
      <c r="K927" s="23" t="str">
        <f>TEXT('Call Data'!$F927,"DDDD")</f>
        <v>Saturday</v>
      </c>
      <c r="L927" s="23" t="s">
        <v>14</v>
      </c>
      <c r="M927" s="23">
        <f>ROUND('Call Data'!$I927,0)</f>
        <v>4</v>
      </c>
    </row>
    <row r="928" spans="1:13" ht="14.25" customHeight="1" x14ac:dyDescent="0.35">
      <c r="A928" s="23" t="s">
        <v>962</v>
      </c>
      <c r="B928" s="23" t="s">
        <v>21</v>
      </c>
      <c r="C928" s="23">
        <v>96</v>
      </c>
      <c r="D928" s="24" t="str" cm="1">
        <f t="array" ref="D928">_xlfn.IFS(CallData[[#This Row],[Duration]]&lt;=15,"Very short",CallData[[#This Row],[Duration]]&lt;=30,"Short",CallData[[#This Row],[Duration]]&lt;=60,"Medium",CallData[[#This Row],[Duration]]&gt;60,"Long")</f>
        <v>Long</v>
      </c>
      <c r="E928" s="24" t="s">
        <v>19</v>
      </c>
      <c r="F928" s="25">
        <v>45248</v>
      </c>
      <c r="G928" s="26">
        <v>215</v>
      </c>
      <c r="H928" s="26" t="str" cm="1">
        <f t="array" ref="H928">_xlfn.IFS(CallData[[#This Row],[Purchase Amount]]&lt;=50,"Low",CallData[[#This Row],[Purchase Amount]]&lt;=100,"Medium",CallData[[#This Row],[Purchase Amount]]&lt;=150,"High",CallData[[#This Row],[Purchase Amount]]&gt;150,"Very High")</f>
        <v>Very High</v>
      </c>
      <c r="I928" s="23">
        <v>2.5</v>
      </c>
      <c r="J928" s="23">
        <f>IF(MONTH('Call Data'!$F928)&lt;=6, YEAR('Call Data'!$F928), YEAR('Call Data'!$F928)+1)</f>
        <v>2024</v>
      </c>
      <c r="K928" s="23" t="str">
        <f>TEXT('Call Data'!$F928,"DDDD")</f>
        <v>Saturday</v>
      </c>
      <c r="L928" s="23" t="s">
        <v>14</v>
      </c>
      <c r="M928" s="23">
        <f>ROUND('Call Data'!$I928,0)</f>
        <v>3</v>
      </c>
    </row>
    <row r="929" spans="1:13" ht="14.25" customHeight="1" x14ac:dyDescent="0.35">
      <c r="A929" s="23" t="s">
        <v>963</v>
      </c>
      <c r="B929" s="23" t="s">
        <v>40</v>
      </c>
      <c r="C929" s="23">
        <v>31</v>
      </c>
      <c r="D929" s="24" t="str" cm="1">
        <f t="array" ref="D929">_xlfn.IFS(CallData[[#This Row],[Duration]]&lt;=15,"Very short",CallData[[#This Row],[Duration]]&lt;=30,"Short",CallData[[#This Row],[Duration]]&lt;=60,"Medium",CallData[[#This Row],[Duration]]&gt;60,"Long")</f>
        <v>Medium</v>
      </c>
      <c r="E929" s="24" t="s">
        <v>24</v>
      </c>
      <c r="F929" s="25">
        <v>45248</v>
      </c>
      <c r="G929" s="26">
        <v>88</v>
      </c>
      <c r="H929" s="26" t="str" cm="1">
        <f t="array" ref="H929">_xlfn.IFS(CallData[[#This Row],[Purchase Amount]]&lt;=50,"Low",CallData[[#This Row],[Purchase Amount]]&lt;=100,"Medium",CallData[[#This Row],[Purchase Amount]]&lt;=150,"High",CallData[[#This Row],[Purchase Amount]]&gt;150,"Very High")</f>
        <v>Medium</v>
      </c>
      <c r="I929" s="23">
        <v>3.4</v>
      </c>
      <c r="J929" s="23">
        <f>IF(MONTH('Call Data'!$F929)&lt;=6, YEAR('Call Data'!$F929), YEAR('Call Data'!$F929)+1)</f>
        <v>2024</v>
      </c>
      <c r="K929" s="23" t="str">
        <f>TEXT('Call Data'!$F929,"DDDD")</f>
        <v>Saturday</v>
      </c>
      <c r="L929" s="23" t="s">
        <v>27</v>
      </c>
      <c r="M929" s="23">
        <f>ROUND('Call Data'!$I929,0)</f>
        <v>3</v>
      </c>
    </row>
    <row r="930" spans="1:13" ht="14.25" customHeight="1" x14ac:dyDescent="0.35">
      <c r="A930" s="23" t="s">
        <v>964</v>
      </c>
      <c r="B930" s="23" t="s">
        <v>58</v>
      </c>
      <c r="C930" s="23">
        <v>107</v>
      </c>
      <c r="D930" s="24" t="str" cm="1">
        <f t="array" ref="D930">_xlfn.IFS(CallData[[#This Row],[Duration]]&lt;=15,"Very short",CallData[[#This Row],[Duration]]&lt;=30,"Short",CallData[[#This Row],[Duration]]&lt;=60,"Medium",CallData[[#This Row],[Duration]]&gt;60,"Long")</f>
        <v>Long</v>
      </c>
      <c r="E930" s="24" t="s">
        <v>35</v>
      </c>
      <c r="F930" s="25">
        <v>45248</v>
      </c>
      <c r="G930" s="26">
        <v>23</v>
      </c>
      <c r="H930" s="26" t="str" cm="1">
        <f t="array" ref="H930">_xlfn.IFS(CallData[[#This Row],[Purchase Amount]]&lt;=50,"Low",CallData[[#This Row],[Purchase Amount]]&lt;=100,"Medium",CallData[[#This Row],[Purchase Amount]]&lt;=150,"High",CallData[[#This Row],[Purchase Amount]]&gt;150,"Very High")</f>
        <v>Low</v>
      </c>
      <c r="I930" s="23">
        <v>3.4</v>
      </c>
      <c r="J930" s="23">
        <f>IF(MONTH('Call Data'!$F930)&lt;=6, YEAR('Call Data'!$F930), YEAR('Call Data'!$F930)+1)</f>
        <v>2024</v>
      </c>
      <c r="K930" s="23" t="str">
        <f>TEXT('Call Data'!$F930,"DDDD")</f>
        <v>Saturday</v>
      </c>
      <c r="L930" s="23" t="s">
        <v>14</v>
      </c>
      <c r="M930" s="23">
        <f>ROUND('Call Data'!$I930,0)</f>
        <v>3</v>
      </c>
    </row>
    <row r="931" spans="1:13" ht="14.25" customHeight="1" x14ac:dyDescent="0.35">
      <c r="A931" s="23" t="s">
        <v>965</v>
      </c>
      <c r="B931" s="23" t="s">
        <v>18</v>
      </c>
      <c r="C931" s="23">
        <v>50</v>
      </c>
      <c r="D931" s="24" t="str" cm="1">
        <f t="array" ref="D931">_xlfn.IFS(CallData[[#This Row],[Duration]]&lt;=15,"Very short",CallData[[#This Row],[Duration]]&lt;=30,"Short",CallData[[#This Row],[Duration]]&lt;=60,"Medium",CallData[[#This Row],[Duration]]&gt;60,"Long")</f>
        <v>Medium</v>
      </c>
      <c r="E931" s="24" t="s">
        <v>24</v>
      </c>
      <c r="F931" s="25">
        <v>45249</v>
      </c>
      <c r="G931" s="26">
        <v>180</v>
      </c>
      <c r="H931" s="26" t="str" cm="1">
        <f t="array" ref="H931">_xlfn.IFS(CallData[[#This Row],[Purchase Amount]]&lt;=50,"Low",CallData[[#This Row],[Purchase Amount]]&lt;=100,"Medium",CallData[[#This Row],[Purchase Amount]]&lt;=150,"High",CallData[[#This Row],[Purchase Amount]]&gt;150,"Very High")</f>
        <v>Very High</v>
      </c>
      <c r="I931" s="23">
        <v>1.8</v>
      </c>
      <c r="J931" s="23">
        <f>IF(MONTH('Call Data'!$F931)&lt;=6, YEAR('Call Data'!$F931), YEAR('Call Data'!$F931)+1)</f>
        <v>2024</v>
      </c>
      <c r="K931" s="23" t="str">
        <f>TEXT('Call Data'!$F931,"DDDD")</f>
        <v>Sunday</v>
      </c>
      <c r="L931" s="23" t="s">
        <v>27</v>
      </c>
      <c r="M931" s="23">
        <f>ROUND('Call Data'!$I931,0)</f>
        <v>2</v>
      </c>
    </row>
    <row r="932" spans="1:13" ht="14.25" customHeight="1" x14ac:dyDescent="0.35">
      <c r="A932" s="23" t="s">
        <v>966</v>
      </c>
      <c r="B932" s="23" t="s">
        <v>68</v>
      </c>
      <c r="C932" s="23">
        <v>69</v>
      </c>
      <c r="D932" s="24" t="str" cm="1">
        <f t="array" ref="D932">_xlfn.IFS(CallData[[#This Row],[Duration]]&lt;=15,"Very short",CallData[[#This Row],[Duration]]&lt;=30,"Short",CallData[[#This Row],[Duration]]&lt;=60,"Medium",CallData[[#This Row],[Duration]]&gt;60,"Long")</f>
        <v>Long</v>
      </c>
      <c r="E932" s="24" t="s">
        <v>35</v>
      </c>
      <c r="F932" s="25">
        <v>45250</v>
      </c>
      <c r="G932" s="26">
        <v>225</v>
      </c>
      <c r="H932" s="26" t="str" cm="1">
        <f t="array" ref="H932">_xlfn.IFS(CallData[[#This Row],[Purchase Amount]]&lt;=50,"Low",CallData[[#This Row],[Purchase Amount]]&lt;=100,"Medium",CallData[[#This Row],[Purchase Amount]]&lt;=150,"High",CallData[[#This Row],[Purchase Amount]]&gt;150,"Very High")</f>
        <v>Very High</v>
      </c>
      <c r="I932" s="23">
        <v>3.7</v>
      </c>
      <c r="J932" s="23">
        <f>IF(MONTH('Call Data'!$F932)&lt;=6, YEAR('Call Data'!$F932), YEAR('Call Data'!$F932)+1)</f>
        <v>2024</v>
      </c>
      <c r="K932" s="23" t="str">
        <f>TEXT('Call Data'!$F932,"DDDD")</f>
        <v>Monday</v>
      </c>
      <c r="L932" s="23" t="s">
        <v>14</v>
      </c>
      <c r="M932" s="23">
        <f>ROUND('Call Data'!$I932,0)</f>
        <v>4</v>
      </c>
    </row>
    <row r="933" spans="1:13" ht="14.25" customHeight="1" x14ac:dyDescent="0.35">
      <c r="A933" s="23" t="s">
        <v>967</v>
      </c>
      <c r="B933" s="23" t="s">
        <v>23</v>
      </c>
      <c r="C933" s="23">
        <v>26</v>
      </c>
      <c r="D933" s="24" t="str" cm="1">
        <f t="array" ref="D933">_xlfn.IFS(CallData[[#This Row],[Duration]]&lt;=15,"Very short",CallData[[#This Row],[Duration]]&lt;=30,"Short",CallData[[#This Row],[Duration]]&lt;=60,"Medium",CallData[[#This Row],[Duration]]&gt;60,"Long")</f>
        <v>Short</v>
      </c>
      <c r="E933" s="24" t="s">
        <v>19</v>
      </c>
      <c r="F933" s="25">
        <v>45251</v>
      </c>
      <c r="G933" s="26">
        <v>74</v>
      </c>
      <c r="H933" s="26" t="str" cm="1">
        <f t="array" ref="H933">_xlfn.IFS(CallData[[#This Row],[Purchase Amount]]&lt;=50,"Low",CallData[[#This Row],[Purchase Amount]]&lt;=100,"Medium",CallData[[#This Row],[Purchase Amount]]&lt;=150,"High",CallData[[#This Row],[Purchase Amount]]&gt;150,"Very High")</f>
        <v>Medium</v>
      </c>
      <c r="I933" s="23">
        <v>4.0999999999999996</v>
      </c>
      <c r="J933" s="23">
        <f>IF(MONTH('Call Data'!$F933)&lt;=6, YEAR('Call Data'!$F933), YEAR('Call Data'!$F933)+1)</f>
        <v>2024</v>
      </c>
      <c r="K933" s="23" t="str">
        <f>TEXT('Call Data'!$F933,"DDDD")</f>
        <v>Tuesday</v>
      </c>
      <c r="L933" s="23" t="s">
        <v>47</v>
      </c>
      <c r="M933" s="23">
        <f>ROUND('Call Data'!$I933,0)</f>
        <v>4</v>
      </c>
    </row>
    <row r="934" spans="1:13" ht="14.25" customHeight="1" x14ac:dyDescent="0.35">
      <c r="A934" s="23" t="s">
        <v>968</v>
      </c>
      <c r="B934" s="23" t="s">
        <v>21</v>
      </c>
      <c r="C934" s="23">
        <v>158</v>
      </c>
      <c r="D934" s="24" t="str" cm="1">
        <f t="array" ref="D934">_xlfn.IFS(CallData[[#This Row],[Duration]]&lt;=15,"Very short",CallData[[#This Row],[Duration]]&lt;=30,"Short",CallData[[#This Row],[Duration]]&lt;=60,"Medium",CallData[[#This Row],[Duration]]&gt;60,"Long")</f>
        <v>Long</v>
      </c>
      <c r="E934" s="24" t="s">
        <v>35</v>
      </c>
      <c r="F934" s="25">
        <v>45251</v>
      </c>
      <c r="G934" s="26">
        <v>36</v>
      </c>
      <c r="H934" s="26" t="str" cm="1">
        <f t="array" ref="H934">_xlfn.IFS(CallData[[#This Row],[Purchase Amount]]&lt;=50,"Low",CallData[[#This Row],[Purchase Amount]]&lt;=100,"Medium",CallData[[#This Row],[Purchase Amount]]&lt;=150,"High",CallData[[#This Row],[Purchase Amount]]&gt;150,"Very High")</f>
        <v>Low</v>
      </c>
      <c r="I934" s="23">
        <v>3</v>
      </c>
      <c r="J934" s="23">
        <f>IF(MONTH('Call Data'!$F934)&lt;=6, YEAR('Call Data'!$F934), YEAR('Call Data'!$F934)+1)</f>
        <v>2024</v>
      </c>
      <c r="K934" s="23" t="str">
        <f>TEXT('Call Data'!$F934,"DDDD")</f>
        <v>Tuesday</v>
      </c>
      <c r="L934" s="23" t="s">
        <v>25</v>
      </c>
      <c r="M934" s="23">
        <f>ROUND('Call Data'!$I934,0)</f>
        <v>3</v>
      </c>
    </row>
    <row r="935" spans="1:13" ht="14.25" customHeight="1" x14ac:dyDescent="0.35">
      <c r="A935" s="23" t="s">
        <v>969</v>
      </c>
      <c r="B935" s="23" t="s">
        <v>29</v>
      </c>
      <c r="C935" s="23">
        <v>99</v>
      </c>
      <c r="D935" s="24" t="str" cm="1">
        <f t="array" ref="D935">_xlfn.IFS(CallData[[#This Row],[Duration]]&lt;=15,"Very short",CallData[[#This Row],[Duration]]&lt;=30,"Short",CallData[[#This Row],[Duration]]&lt;=60,"Medium",CallData[[#This Row],[Duration]]&gt;60,"Long")</f>
        <v>Long</v>
      </c>
      <c r="E935" s="24" t="s">
        <v>35</v>
      </c>
      <c r="F935" s="25">
        <v>45253</v>
      </c>
      <c r="G935" s="26">
        <v>116</v>
      </c>
      <c r="H935" s="26" t="str" cm="1">
        <f t="array" ref="H935">_xlfn.IFS(CallData[[#This Row],[Purchase Amount]]&lt;=50,"Low",CallData[[#This Row],[Purchase Amount]]&lt;=100,"Medium",CallData[[#This Row],[Purchase Amount]]&lt;=150,"High",CallData[[#This Row],[Purchase Amount]]&gt;150,"Very High")</f>
        <v>High</v>
      </c>
      <c r="I935" s="23">
        <v>3.9</v>
      </c>
      <c r="J935" s="23">
        <f>IF(MONTH('Call Data'!$F935)&lt;=6, YEAR('Call Data'!$F935), YEAR('Call Data'!$F935)+1)</f>
        <v>2024</v>
      </c>
      <c r="K935" s="23" t="str">
        <f>TEXT('Call Data'!$F935,"DDDD")</f>
        <v>Thursday</v>
      </c>
      <c r="L935" s="23" t="s">
        <v>14</v>
      </c>
      <c r="M935" s="23">
        <f>ROUND('Call Data'!$I935,0)</f>
        <v>4</v>
      </c>
    </row>
    <row r="936" spans="1:13" ht="14.25" customHeight="1" x14ac:dyDescent="0.35">
      <c r="A936" s="23" t="s">
        <v>970</v>
      </c>
      <c r="B936" s="23" t="s">
        <v>21</v>
      </c>
      <c r="C936" s="23">
        <v>78</v>
      </c>
      <c r="D936" s="24" t="str" cm="1">
        <f t="array" ref="D936">_xlfn.IFS(CallData[[#This Row],[Duration]]&lt;=15,"Very short",CallData[[#This Row],[Duration]]&lt;=30,"Short",CallData[[#This Row],[Duration]]&lt;=60,"Medium",CallData[[#This Row],[Duration]]&gt;60,"Long")</f>
        <v>Long</v>
      </c>
      <c r="E936" s="24" t="s">
        <v>24</v>
      </c>
      <c r="F936" s="25">
        <v>45253</v>
      </c>
      <c r="G936" s="26">
        <v>140</v>
      </c>
      <c r="H936" s="26" t="str" cm="1">
        <f t="array" ref="H936">_xlfn.IFS(CallData[[#This Row],[Purchase Amount]]&lt;=50,"Low",CallData[[#This Row],[Purchase Amount]]&lt;=100,"Medium",CallData[[#This Row],[Purchase Amount]]&lt;=150,"High",CallData[[#This Row],[Purchase Amount]]&gt;150,"Very High")</f>
        <v>High</v>
      </c>
      <c r="I936" s="23">
        <v>4</v>
      </c>
      <c r="J936" s="23">
        <f>IF(MONTH('Call Data'!$F936)&lt;=6, YEAR('Call Data'!$F936), YEAR('Call Data'!$F936)+1)</f>
        <v>2024</v>
      </c>
      <c r="K936" s="23" t="str">
        <f>TEXT('Call Data'!$F936,"DDDD")</f>
        <v>Thursday</v>
      </c>
      <c r="L936" s="23" t="s">
        <v>14</v>
      </c>
      <c r="M936" s="23">
        <f>ROUND('Call Data'!$I936,0)</f>
        <v>4</v>
      </c>
    </row>
    <row r="937" spans="1:13" ht="14.25" customHeight="1" x14ac:dyDescent="0.35">
      <c r="A937" s="23" t="s">
        <v>971</v>
      </c>
      <c r="B937" s="23" t="s">
        <v>21</v>
      </c>
      <c r="C937" s="23">
        <v>102</v>
      </c>
      <c r="D937" s="24" t="str" cm="1">
        <f t="array" ref="D937">_xlfn.IFS(CallData[[#This Row],[Duration]]&lt;=15,"Very short",CallData[[#This Row],[Duration]]&lt;=30,"Short",CallData[[#This Row],[Duration]]&lt;=60,"Medium",CallData[[#This Row],[Duration]]&gt;60,"Long")</f>
        <v>Long</v>
      </c>
      <c r="E937" s="24" t="s">
        <v>19</v>
      </c>
      <c r="F937" s="25">
        <v>45254</v>
      </c>
      <c r="G937" s="26">
        <v>104</v>
      </c>
      <c r="H937" s="26" t="str" cm="1">
        <f t="array" ref="H937">_xlfn.IFS(CallData[[#This Row],[Purchase Amount]]&lt;=50,"Low",CallData[[#This Row],[Purchase Amount]]&lt;=100,"Medium",CallData[[#This Row],[Purchase Amount]]&lt;=150,"High",CallData[[#This Row],[Purchase Amount]]&gt;150,"Very High")</f>
        <v>High</v>
      </c>
      <c r="I937" s="23">
        <v>4.5</v>
      </c>
      <c r="J937" s="23">
        <f>IF(MONTH('Call Data'!$F937)&lt;=6, YEAR('Call Data'!$F937), YEAR('Call Data'!$F937)+1)</f>
        <v>2024</v>
      </c>
      <c r="K937" s="23" t="str">
        <f>TEXT('Call Data'!$F937,"DDDD")</f>
        <v>Friday</v>
      </c>
      <c r="L937" s="23" t="s">
        <v>14</v>
      </c>
      <c r="M937" s="23">
        <f>ROUND('Call Data'!$I937,0)</f>
        <v>5</v>
      </c>
    </row>
    <row r="938" spans="1:13" ht="14.25" customHeight="1" x14ac:dyDescent="0.35">
      <c r="A938" s="23" t="s">
        <v>972</v>
      </c>
      <c r="B938" s="23" t="s">
        <v>29</v>
      </c>
      <c r="C938" s="23">
        <v>158</v>
      </c>
      <c r="D938" s="24" t="str" cm="1">
        <f t="array" ref="D938">_xlfn.IFS(CallData[[#This Row],[Duration]]&lt;=15,"Very short",CallData[[#This Row],[Duration]]&lt;=30,"Short",CallData[[#This Row],[Duration]]&lt;=60,"Medium",CallData[[#This Row],[Duration]]&gt;60,"Long")</f>
        <v>Long</v>
      </c>
      <c r="E938" s="24" t="s">
        <v>31</v>
      </c>
      <c r="F938" s="25">
        <v>45254</v>
      </c>
      <c r="G938" s="26">
        <v>148</v>
      </c>
      <c r="H938" s="26" t="str" cm="1">
        <f t="array" ref="H938">_xlfn.IFS(CallData[[#This Row],[Purchase Amount]]&lt;=50,"Low",CallData[[#This Row],[Purchase Amount]]&lt;=100,"Medium",CallData[[#This Row],[Purchase Amount]]&lt;=150,"High",CallData[[#This Row],[Purchase Amount]]&gt;150,"Very High")</f>
        <v>High</v>
      </c>
      <c r="I938" s="23">
        <v>4</v>
      </c>
      <c r="J938" s="23">
        <f>IF(MONTH('Call Data'!$F938)&lt;=6, YEAR('Call Data'!$F938), YEAR('Call Data'!$F938)+1)</f>
        <v>2024</v>
      </c>
      <c r="K938" s="23" t="str">
        <f>TEXT('Call Data'!$F938,"DDDD")</f>
        <v>Friday</v>
      </c>
      <c r="L938" s="23" t="s">
        <v>25</v>
      </c>
      <c r="M938" s="23">
        <f>ROUND('Call Data'!$I938,0)</f>
        <v>4</v>
      </c>
    </row>
    <row r="939" spans="1:13" ht="14.25" customHeight="1" x14ac:dyDescent="0.35">
      <c r="A939" s="23" t="s">
        <v>973</v>
      </c>
      <c r="B939" s="23" t="s">
        <v>40</v>
      </c>
      <c r="C939" s="23">
        <v>56</v>
      </c>
      <c r="D939" s="24" t="str" cm="1">
        <f t="array" ref="D939">_xlfn.IFS(CallData[[#This Row],[Duration]]&lt;=15,"Very short",CallData[[#This Row],[Duration]]&lt;=30,"Short",CallData[[#This Row],[Duration]]&lt;=60,"Medium",CallData[[#This Row],[Duration]]&gt;60,"Long")</f>
        <v>Medium</v>
      </c>
      <c r="E939" s="24" t="s">
        <v>35</v>
      </c>
      <c r="F939" s="25">
        <v>45254</v>
      </c>
      <c r="G939" s="26">
        <v>205</v>
      </c>
      <c r="H939" s="26" t="str" cm="1">
        <f t="array" ref="H939">_xlfn.IFS(CallData[[#This Row],[Purchase Amount]]&lt;=50,"Low",CallData[[#This Row],[Purchase Amount]]&lt;=100,"Medium",CallData[[#This Row],[Purchase Amount]]&lt;=150,"High",CallData[[#This Row],[Purchase Amount]]&gt;150,"Very High")</f>
        <v>Very High</v>
      </c>
      <c r="I939" s="23">
        <v>4.3</v>
      </c>
      <c r="J939" s="23">
        <f>IF(MONTH('Call Data'!$F939)&lt;=6, YEAR('Call Data'!$F939), YEAR('Call Data'!$F939)+1)</f>
        <v>2024</v>
      </c>
      <c r="K939" s="23" t="str">
        <f>TEXT('Call Data'!$F939,"DDDD")</f>
        <v>Friday</v>
      </c>
      <c r="L939" s="23" t="s">
        <v>27</v>
      </c>
      <c r="M939" s="23">
        <f>ROUND('Call Data'!$I939,0)</f>
        <v>4</v>
      </c>
    </row>
    <row r="940" spans="1:13" ht="14.25" customHeight="1" x14ac:dyDescent="0.35">
      <c r="A940" s="23" t="s">
        <v>974</v>
      </c>
      <c r="B940" s="23" t="s">
        <v>16</v>
      </c>
      <c r="C940" s="23">
        <v>17</v>
      </c>
      <c r="D940" s="24" t="str" cm="1">
        <f t="array" ref="D940">_xlfn.IFS(CallData[[#This Row],[Duration]]&lt;=15,"Very short",CallData[[#This Row],[Duration]]&lt;=30,"Short",CallData[[#This Row],[Duration]]&lt;=60,"Medium",CallData[[#This Row],[Duration]]&gt;60,"Long")</f>
        <v>Short</v>
      </c>
      <c r="E940" s="24" t="s">
        <v>13</v>
      </c>
      <c r="F940" s="25">
        <v>45254</v>
      </c>
      <c r="G940" s="26">
        <v>210</v>
      </c>
      <c r="H940" s="26" t="str" cm="1">
        <f t="array" ref="H940">_xlfn.IFS(CallData[[#This Row],[Purchase Amount]]&lt;=50,"Low",CallData[[#This Row],[Purchase Amount]]&lt;=100,"Medium",CallData[[#This Row],[Purchase Amount]]&lt;=150,"High",CallData[[#This Row],[Purchase Amount]]&gt;150,"Very High")</f>
        <v>Very High</v>
      </c>
      <c r="I940" s="23">
        <v>4.8</v>
      </c>
      <c r="J940" s="23">
        <f>IF(MONTH('Call Data'!$F940)&lt;=6, YEAR('Call Data'!$F940), YEAR('Call Data'!$F940)+1)</f>
        <v>2024</v>
      </c>
      <c r="K940" s="23" t="str">
        <f>TEXT('Call Data'!$F940,"DDDD")</f>
        <v>Friday</v>
      </c>
      <c r="L940" s="23" t="s">
        <v>47</v>
      </c>
      <c r="M940" s="23">
        <f>ROUND('Call Data'!$I940,0)</f>
        <v>5</v>
      </c>
    </row>
    <row r="941" spans="1:13" ht="14.25" customHeight="1" x14ac:dyDescent="0.35">
      <c r="A941" s="23" t="s">
        <v>975</v>
      </c>
      <c r="B941" s="23" t="s">
        <v>23</v>
      </c>
      <c r="C941" s="23">
        <v>104</v>
      </c>
      <c r="D941" s="24" t="str" cm="1">
        <f t="array" ref="D941">_xlfn.IFS(CallData[[#This Row],[Duration]]&lt;=15,"Very short",CallData[[#This Row],[Duration]]&lt;=30,"Short",CallData[[#This Row],[Duration]]&lt;=60,"Medium",CallData[[#This Row],[Duration]]&gt;60,"Long")</f>
        <v>Long</v>
      </c>
      <c r="E941" s="24" t="s">
        <v>31</v>
      </c>
      <c r="F941" s="25">
        <v>45256</v>
      </c>
      <c r="G941" s="26">
        <v>41</v>
      </c>
      <c r="H941" s="26" t="str" cm="1">
        <f t="array" ref="H941">_xlfn.IFS(CallData[[#This Row],[Purchase Amount]]&lt;=50,"Low",CallData[[#This Row],[Purchase Amount]]&lt;=100,"Medium",CallData[[#This Row],[Purchase Amount]]&lt;=150,"High",CallData[[#This Row],[Purchase Amount]]&gt;150,"Very High")</f>
        <v>Low</v>
      </c>
      <c r="I941" s="23">
        <v>4.7</v>
      </c>
      <c r="J941" s="23">
        <f>IF(MONTH('Call Data'!$F941)&lt;=6, YEAR('Call Data'!$F941), YEAR('Call Data'!$F941)+1)</f>
        <v>2024</v>
      </c>
      <c r="K941" s="23" t="str">
        <f>TEXT('Call Data'!$F941,"DDDD")</f>
        <v>Sunday</v>
      </c>
      <c r="L941" s="23" t="s">
        <v>14</v>
      </c>
      <c r="M941" s="23">
        <f>ROUND('Call Data'!$I941,0)</f>
        <v>5</v>
      </c>
    </row>
    <row r="942" spans="1:13" ht="14.25" customHeight="1" x14ac:dyDescent="0.35">
      <c r="A942" s="23" t="s">
        <v>976</v>
      </c>
      <c r="B942" s="23" t="s">
        <v>55</v>
      </c>
      <c r="C942" s="23">
        <v>96</v>
      </c>
      <c r="D942" s="24" t="str" cm="1">
        <f t="array" ref="D942">_xlfn.IFS(CallData[[#This Row],[Duration]]&lt;=15,"Very short",CallData[[#This Row],[Duration]]&lt;=30,"Short",CallData[[#This Row],[Duration]]&lt;=60,"Medium",CallData[[#This Row],[Duration]]&gt;60,"Long")</f>
        <v>Long</v>
      </c>
      <c r="E942" s="24" t="s">
        <v>24</v>
      </c>
      <c r="F942" s="25">
        <v>45256</v>
      </c>
      <c r="G942" s="26">
        <v>136</v>
      </c>
      <c r="H942" s="26" t="str" cm="1">
        <f t="array" ref="H942">_xlfn.IFS(CallData[[#This Row],[Purchase Amount]]&lt;=50,"Low",CallData[[#This Row],[Purchase Amount]]&lt;=100,"Medium",CallData[[#This Row],[Purchase Amount]]&lt;=150,"High",CallData[[#This Row],[Purchase Amount]]&gt;150,"Very High")</f>
        <v>High</v>
      </c>
      <c r="I942" s="23">
        <v>5</v>
      </c>
      <c r="J942" s="23">
        <f>IF(MONTH('Call Data'!$F942)&lt;=6, YEAR('Call Data'!$F942), YEAR('Call Data'!$F942)+1)</f>
        <v>2024</v>
      </c>
      <c r="K942" s="23" t="str">
        <f>TEXT('Call Data'!$F942,"DDDD")</f>
        <v>Sunday</v>
      </c>
      <c r="L942" s="23" t="s">
        <v>14</v>
      </c>
      <c r="M942" s="23">
        <f>ROUND('Call Data'!$I942,0)</f>
        <v>5</v>
      </c>
    </row>
    <row r="943" spans="1:13" ht="14.25" customHeight="1" x14ac:dyDescent="0.35">
      <c r="A943" s="23" t="s">
        <v>977</v>
      </c>
      <c r="B943" s="23" t="s">
        <v>46</v>
      </c>
      <c r="C943" s="23">
        <v>83</v>
      </c>
      <c r="D943" s="24" t="str" cm="1">
        <f t="array" ref="D943">_xlfn.IFS(CallData[[#This Row],[Duration]]&lt;=15,"Very short",CallData[[#This Row],[Duration]]&lt;=30,"Short",CallData[[#This Row],[Duration]]&lt;=60,"Medium",CallData[[#This Row],[Duration]]&gt;60,"Long")</f>
        <v>Long</v>
      </c>
      <c r="E943" s="24" t="s">
        <v>19</v>
      </c>
      <c r="F943" s="25">
        <v>45257</v>
      </c>
      <c r="G943" s="26">
        <v>126</v>
      </c>
      <c r="H943" s="26" t="str" cm="1">
        <f t="array" ref="H943">_xlfn.IFS(CallData[[#This Row],[Purchase Amount]]&lt;=50,"Low",CallData[[#This Row],[Purchase Amount]]&lt;=100,"Medium",CallData[[#This Row],[Purchase Amount]]&lt;=150,"High",CallData[[#This Row],[Purchase Amount]]&gt;150,"Very High")</f>
        <v>High</v>
      </c>
      <c r="I943" s="23">
        <v>1.5</v>
      </c>
      <c r="J943" s="23">
        <f>IF(MONTH('Call Data'!$F943)&lt;=6, YEAR('Call Data'!$F943), YEAR('Call Data'!$F943)+1)</f>
        <v>2024</v>
      </c>
      <c r="K943" s="23" t="str">
        <f>TEXT('Call Data'!$F943,"DDDD")</f>
        <v>Monday</v>
      </c>
      <c r="L943" s="23" t="s">
        <v>14</v>
      </c>
      <c r="M943" s="23">
        <f>ROUND('Call Data'!$I943,0)</f>
        <v>2</v>
      </c>
    </row>
    <row r="944" spans="1:13" ht="14.25" customHeight="1" x14ac:dyDescent="0.35">
      <c r="A944" s="23" t="s">
        <v>978</v>
      </c>
      <c r="B944" s="23" t="s">
        <v>18</v>
      </c>
      <c r="C944" s="23">
        <v>80</v>
      </c>
      <c r="D944" s="24" t="str" cm="1">
        <f t="array" ref="D944">_xlfn.IFS(CallData[[#This Row],[Duration]]&lt;=15,"Very short",CallData[[#This Row],[Duration]]&lt;=30,"Short",CallData[[#This Row],[Duration]]&lt;=60,"Medium",CallData[[#This Row],[Duration]]&gt;60,"Long")</f>
        <v>Long</v>
      </c>
      <c r="E944" s="24" t="s">
        <v>13</v>
      </c>
      <c r="F944" s="25">
        <v>45258</v>
      </c>
      <c r="G944" s="26">
        <v>148</v>
      </c>
      <c r="H944" s="26" t="str" cm="1">
        <f t="array" ref="H944">_xlfn.IFS(CallData[[#This Row],[Purchase Amount]]&lt;=50,"Low",CallData[[#This Row],[Purchase Amount]]&lt;=100,"Medium",CallData[[#This Row],[Purchase Amount]]&lt;=150,"High",CallData[[#This Row],[Purchase Amount]]&gt;150,"Very High")</f>
        <v>High</v>
      </c>
      <c r="I944" s="23">
        <v>4.0999999999999996</v>
      </c>
      <c r="J944" s="23">
        <f>IF(MONTH('Call Data'!$F944)&lt;=6, YEAR('Call Data'!$F944), YEAR('Call Data'!$F944)+1)</f>
        <v>2024</v>
      </c>
      <c r="K944" s="23" t="str">
        <f>TEXT('Call Data'!$F944,"DDDD")</f>
        <v>Tuesday</v>
      </c>
      <c r="L944" s="23" t="s">
        <v>14</v>
      </c>
      <c r="M944" s="23">
        <f>ROUND('Call Data'!$I944,0)</f>
        <v>4</v>
      </c>
    </row>
    <row r="945" spans="1:13" ht="14.25" customHeight="1" x14ac:dyDescent="0.35">
      <c r="A945" s="23" t="s">
        <v>979</v>
      </c>
      <c r="B945" s="23" t="s">
        <v>46</v>
      </c>
      <c r="C945" s="23">
        <v>152</v>
      </c>
      <c r="D945" s="24" t="str" cm="1">
        <f t="array" ref="D945">_xlfn.IFS(CallData[[#This Row],[Duration]]&lt;=15,"Very short",CallData[[#This Row],[Duration]]&lt;=30,"Short",CallData[[#This Row],[Duration]]&lt;=60,"Medium",CallData[[#This Row],[Duration]]&gt;60,"Long")</f>
        <v>Long</v>
      </c>
      <c r="E945" s="24" t="s">
        <v>19</v>
      </c>
      <c r="F945" s="25">
        <v>45258</v>
      </c>
      <c r="G945" s="26">
        <v>125</v>
      </c>
      <c r="H945" s="26" t="str" cm="1">
        <f t="array" ref="H945">_xlfn.IFS(CallData[[#This Row],[Purchase Amount]]&lt;=50,"Low",CallData[[#This Row],[Purchase Amount]]&lt;=100,"Medium",CallData[[#This Row],[Purchase Amount]]&lt;=150,"High",CallData[[#This Row],[Purchase Amount]]&gt;150,"Very High")</f>
        <v>High</v>
      </c>
      <c r="I945" s="23">
        <v>3.9</v>
      </c>
      <c r="J945" s="23">
        <f>IF(MONTH('Call Data'!$F945)&lt;=6, YEAR('Call Data'!$F945), YEAR('Call Data'!$F945)+1)</f>
        <v>2024</v>
      </c>
      <c r="K945" s="23" t="str">
        <f>TEXT('Call Data'!$F945,"DDDD")</f>
        <v>Tuesday</v>
      </c>
      <c r="L945" s="23" t="s">
        <v>25</v>
      </c>
      <c r="M945" s="23">
        <f>ROUND('Call Data'!$I945,0)</f>
        <v>4</v>
      </c>
    </row>
    <row r="946" spans="1:13" ht="14.25" customHeight="1" x14ac:dyDescent="0.35">
      <c r="A946" s="23" t="s">
        <v>980</v>
      </c>
      <c r="B946" s="23" t="s">
        <v>34</v>
      </c>
      <c r="C946" s="23">
        <v>34</v>
      </c>
      <c r="D946" s="24" t="str" cm="1">
        <f t="array" ref="D946">_xlfn.IFS(CallData[[#This Row],[Duration]]&lt;=15,"Very short",CallData[[#This Row],[Duration]]&lt;=30,"Short",CallData[[#This Row],[Duration]]&lt;=60,"Medium",CallData[[#This Row],[Duration]]&gt;60,"Long")</f>
        <v>Medium</v>
      </c>
      <c r="E946" s="24" t="s">
        <v>24</v>
      </c>
      <c r="F946" s="25">
        <v>45258</v>
      </c>
      <c r="G946" s="26">
        <v>25</v>
      </c>
      <c r="H946" s="26" t="str" cm="1">
        <f t="array" ref="H946">_xlfn.IFS(CallData[[#This Row],[Purchase Amount]]&lt;=50,"Low",CallData[[#This Row],[Purchase Amount]]&lt;=100,"Medium",CallData[[#This Row],[Purchase Amount]]&lt;=150,"High",CallData[[#This Row],[Purchase Amount]]&gt;150,"Very High")</f>
        <v>Low</v>
      </c>
      <c r="I946" s="23">
        <v>4.0999999999999996</v>
      </c>
      <c r="J946" s="23">
        <f>IF(MONTH('Call Data'!$F946)&lt;=6, YEAR('Call Data'!$F946), YEAR('Call Data'!$F946)+1)</f>
        <v>2024</v>
      </c>
      <c r="K946" s="23" t="str">
        <f>TEXT('Call Data'!$F946,"DDDD")</f>
        <v>Tuesday</v>
      </c>
      <c r="L946" s="23" t="s">
        <v>27</v>
      </c>
      <c r="M946" s="23">
        <f>ROUND('Call Data'!$I946,0)</f>
        <v>4</v>
      </c>
    </row>
    <row r="947" spans="1:13" ht="14.25" customHeight="1" x14ac:dyDescent="0.35">
      <c r="A947" s="23" t="s">
        <v>981</v>
      </c>
      <c r="B947" s="23" t="s">
        <v>38</v>
      </c>
      <c r="C947" s="23">
        <v>2</v>
      </c>
      <c r="D947" s="24" t="str" cm="1">
        <f t="array" ref="D947">_xlfn.IFS(CallData[[#This Row],[Duration]]&lt;=15,"Very short",CallData[[#This Row],[Duration]]&lt;=30,"Short",CallData[[#This Row],[Duration]]&lt;=60,"Medium",CallData[[#This Row],[Duration]]&gt;60,"Long")</f>
        <v>Very short</v>
      </c>
      <c r="E947" s="24" t="s">
        <v>35</v>
      </c>
      <c r="F947" s="25">
        <v>45259</v>
      </c>
      <c r="G947" s="26">
        <v>62</v>
      </c>
      <c r="H947" s="26" t="str" cm="1">
        <f t="array" ref="H947">_xlfn.IFS(CallData[[#This Row],[Purchase Amount]]&lt;=50,"Low",CallData[[#This Row],[Purchase Amount]]&lt;=100,"Medium",CallData[[#This Row],[Purchase Amount]]&lt;=150,"High",CallData[[#This Row],[Purchase Amount]]&gt;150,"Very High")</f>
        <v>Medium</v>
      </c>
      <c r="I947" s="23">
        <v>2.8</v>
      </c>
      <c r="J947" s="23">
        <f>IF(MONTH('Call Data'!$F947)&lt;=6, YEAR('Call Data'!$F947), YEAR('Call Data'!$F947)+1)</f>
        <v>2024</v>
      </c>
      <c r="K947" s="23" t="str">
        <f>TEXT('Call Data'!$F947,"DDDD")</f>
        <v>Wednesday</v>
      </c>
      <c r="L947" s="23" t="s">
        <v>176</v>
      </c>
      <c r="M947" s="23">
        <f>ROUND('Call Data'!$I947,0)</f>
        <v>3</v>
      </c>
    </row>
    <row r="948" spans="1:13" ht="14.25" customHeight="1" x14ac:dyDescent="0.35">
      <c r="A948" s="23" t="s">
        <v>982</v>
      </c>
      <c r="B948" s="23" t="s">
        <v>18</v>
      </c>
      <c r="C948" s="23">
        <v>140</v>
      </c>
      <c r="D948" s="24" t="str" cm="1">
        <f t="array" ref="D948">_xlfn.IFS(CallData[[#This Row],[Duration]]&lt;=15,"Very short",CallData[[#This Row],[Duration]]&lt;=30,"Short",CallData[[#This Row],[Duration]]&lt;=60,"Medium",CallData[[#This Row],[Duration]]&gt;60,"Long")</f>
        <v>Long</v>
      </c>
      <c r="E948" s="24" t="s">
        <v>24</v>
      </c>
      <c r="F948" s="25">
        <v>45260</v>
      </c>
      <c r="G948" s="26">
        <v>90</v>
      </c>
      <c r="H948" s="26" t="str" cm="1">
        <f t="array" ref="H948">_xlfn.IFS(CallData[[#This Row],[Purchase Amount]]&lt;=50,"Low",CallData[[#This Row],[Purchase Amount]]&lt;=100,"Medium",CallData[[#This Row],[Purchase Amount]]&lt;=150,"High",CallData[[#This Row],[Purchase Amount]]&gt;150,"Very High")</f>
        <v>Medium</v>
      </c>
      <c r="I948" s="23">
        <v>4.5999999999999996</v>
      </c>
      <c r="J948" s="23">
        <f>IF(MONTH('Call Data'!$F948)&lt;=6, YEAR('Call Data'!$F948), YEAR('Call Data'!$F948)+1)</f>
        <v>2024</v>
      </c>
      <c r="K948" s="23" t="str">
        <f>TEXT('Call Data'!$F948,"DDDD")</f>
        <v>Thursday</v>
      </c>
      <c r="L948" s="23" t="s">
        <v>25</v>
      </c>
      <c r="M948" s="23">
        <f>ROUND('Call Data'!$I948,0)</f>
        <v>5</v>
      </c>
    </row>
    <row r="949" spans="1:13" ht="14.25" customHeight="1" x14ac:dyDescent="0.35">
      <c r="A949" s="23" t="s">
        <v>983</v>
      </c>
      <c r="B949" s="23" t="s">
        <v>16</v>
      </c>
      <c r="C949" s="23">
        <v>126</v>
      </c>
      <c r="D949" s="24" t="str" cm="1">
        <f t="array" ref="D949">_xlfn.IFS(CallData[[#This Row],[Duration]]&lt;=15,"Very short",CallData[[#This Row],[Duration]]&lt;=30,"Short",CallData[[#This Row],[Duration]]&lt;=60,"Medium",CallData[[#This Row],[Duration]]&gt;60,"Long")</f>
        <v>Long</v>
      </c>
      <c r="E949" s="24" t="s">
        <v>31</v>
      </c>
      <c r="F949" s="25">
        <v>45261</v>
      </c>
      <c r="G949" s="26">
        <v>33</v>
      </c>
      <c r="H949" s="26" t="str" cm="1">
        <f t="array" ref="H949">_xlfn.IFS(CallData[[#This Row],[Purchase Amount]]&lt;=50,"Low",CallData[[#This Row],[Purchase Amount]]&lt;=100,"Medium",CallData[[#This Row],[Purchase Amount]]&lt;=150,"High",CallData[[#This Row],[Purchase Amount]]&gt;150,"Very High")</f>
        <v>Low</v>
      </c>
      <c r="I949" s="23">
        <v>4.8</v>
      </c>
      <c r="J949" s="23">
        <f>IF(MONTH('Call Data'!$F949)&lt;=6, YEAR('Call Data'!$F949), YEAR('Call Data'!$F949)+1)</f>
        <v>2024</v>
      </c>
      <c r="K949" s="23" t="str">
        <f>TEXT('Call Data'!$F949,"DDDD")</f>
        <v>Friday</v>
      </c>
      <c r="L949" s="23" t="s">
        <v>25</v>
      </c>
      <c r="M949" s="23">
        <f>ROUND('Call Data'!$I949,0)</f>
        <v>5</v>
      </c>
    </row>
    <row r="950" spans="1:13" ht="14.25" customHeight="1" x14ac:dyDescent="0.35">
      <c r="A950" s="23" t="s">
        <v>984</v>
      </c>
      <c r="B950" s="23" t="s">
        <v>21</v>
      </c>
      <c r="C950" s="23">
        <v>79</v>
      </c>
      <c r="D950" s="24" t="str" cm="1">
        <f t="array" ref="D950">_xlfn.IFS(CallData[[#This Row],[Duration]]&lt;=15,"Very short",CallData[[#This Row],[Duration]]&lt;=30,"Short",CallData[[#This Row],[Duration]]&lt;=60,"Medium",CallData[[#This Row],[Duration]]&gt;60,"Long")</f>
        <v>Long</v>
      </c>
      <c r="E950" s="24" t="s">
        <v>35</v>
      </c>
      <c r="F950" s="25">
        <v>45261</v>
      </c>
      <c r="G950" s="26">
        <v>115</v>
      </c>
      <c r="H950" s="26" t="str" cm="1">
        <f t="array" ref="H950">_xlfn.IFS(CallData[[#This Row],[Purchase Amount]]&lt;=50,"Low",CallData[[#This Row],[Purchase Amount]]&lt;=100,"Medium",CallData[[#This Row],[Purchase Amount]]&lt;=150,"High",CallData[[#This Row],[Purchase Amount]]&gt;150,"Very High")</f>
        <v>High</v>
      </c>
      <c r="I950" s="23">
        <v>2.2999999999999998</v>
      </c>
      <c r="J950" s="23">
        <f>IF(MONTH('Call Data'!$F950)&lt;=6, YEAR('Call Data'!$F950), YEAR('Call Data'!$F950)+1)</f>
        <v>2024</v>
      </c>
      <c r="K950" s="23" t="str">
        <f>TEXT('Call Data'!$F950,"DDDD")</f>
        <v>Friday</v>
      </c>
      <c r="L950" s="23" t="s">
        <v>14</v>
      </c>
      <c r="M950" s="23">
        <f>ROUND('Call Data'!$I950,0)</f>
        <v>2</v>
      </c>
    </row>
    <row r="951" spans="1:13" ht="14.25" customHeight="1" x14ac:dyDescent="0.35">
      <c r="A951" s="23" t="s">
        <v>985</v>
      </c>
      <c r="B951" s="23" t="s">
        <v>16</v>
      </c>
      <c r="C951" s="23">
        <v>133</v>
      </c>
      <c r="D951" s="24" t="str" cm="1">
        <f t="array" ref="D951">_xlfn.IFS(CallData[[#This Row],[Duration]]&lt;=15,"Very short",CallData[[#This Row],[Duration]]&lt;=30,"Short",CallData[[#This Row],[Duration]]&lt;=60,"Medium",CallData[[#This Row],[Duration]]&gt;60,"Long")</f>
        <v>Long</v>
      </c>
      <c r="E951" s="24" t="s">
        <v>31</v>
      </c>
      <c r="F951" s="25">
        <v>45261</v>
      </c>
      <c r="G951" s="26">
        <v>45</v>
      </c>
      <c r="H951" s="26" t="str" cm="1">
        <f t="array" ref="H951">_xlfn.IFS(CallData[[#This Row],[Purchase Amount]]&lt;=50,"Low",CallData[[#This Row],[Purchase Amount]]&lt;=100,"Medium",CallData[[#This Row],[Purchase Amount]]&lt;=150,"High",CallData[[#This Row],[Purchase Amount]]&gt;150,"Very High")</f>
        <v>Low</v>
      </c>
      <c r="I951" s="23">
        <v>2.6</v>
      </c>
      <c r="J951" s="23">
        <f>IF(MONTH('Call Data'!$F951)&lt;=6, YEAR('Call Data'!$F951), YEAR('Call Data'!$F951)+1)</f>
        <v>2024</v>
      </c>
      <c r="K951" s="23" t="str">
        <f>TEXT('Call Data'!$F951,"DDDD")</f>
        <v>Friday</v>
      </c>
      <c r="L951" s="23" t="s">
        <v>25</v>
      </c>
      <c r="M951" s="23">
        <f>ROUND('Call Data'!$I951,0)</f>
        <v>3</v>
      </c>
    </row>
    <row r="952" spans="1:13" ht="14.25" customHeight="1" x14ac:dyDescent="0.35">
      <c r="A952" s="23" t="s">
        <v>986</v>
      </c>
      <c r="B952" s="23" t="s">
        <v>34</v>
      </c>
      <c r="C952" s="23">
        <v>97</v>
      </c>
      <c r="D952" s="24" t="str" cm="1">
        <f t="array" ref="D952">_xlfn.IFS(CallData[[#This Row],[Duration]]&lt;=15,"Very short",CallData[[#This Row],[Duration]]&lt;=30,"Short",CallData[[#This Row],[Duration]]&lt;=60,"Medium",CallData[[#This Row],[Duration]]&gt;60,"Long")</f>
        <v>Long</v>
      </c>
      <c r="E952" s="24" t="s">
        <v>13</v>
      </c>
      <c r="F952" s="25">
        <v>45261</v>
      </c>
      <c r="G952" s="26">
        <v>114</v>
      </c>
      <c r="H952" s="26" t="str" cm="1">
        <f t="array" ref="H952">_xlfn.IFS(CallData[[#This Row],[Purchase Amount]]&lt;=50,"Low",CallData[[#This Row],[Purchase Amount]]&lt;=100,"Medium",CallData[[#This Row],[Purchase Amount]]&lt;=150,"High",CallData[[#This Row],[Purchase Amount]]&gt;150,"Very High")</f>
        <v>High</v>
      </c>
      <c r="I952" s="23">
        <v>4.8</v>
      </c>
      <c r="J952" s="23">
        <f>IF(MONTH('Call Data'!$F952)&lt;=6, YEAR('Call Data'!$F952), YEAR('Call Data'!$F952)+1)</f>
        <v>2024</v>
      </c>
      <c r="K952" s="23" t="str">
        <f>TEXT('Call Data'!$F952,"DDDD")</f>
        <v>Friday</v>
      </c>
      <c r="L952" s="23" t="s">
        <v>14</v>
      </c>
      <c r="M952" s="23">
        <f>ROUND('Call Data'!$I952,0)</f>
        <v>5</v>
      </c>
    </row>
    <row r="953" spans="1:13" ht="14.25" customHeight="1" x14ac:dyDescent="0.35">
      <c r="A953" s="23" t="s">
        <v>987</v>
      </c>
      <c r="B953" s="23" t="s">
        <v>21</v>
      </c>
      <c r="C953" s="23">
        <v>102</v>
      </c>
      <c r="D953" s="24" t="str" cm="1">
        <f t="array" ref="D953">_xlfn.IFS(CallData[[#This Row],[Duration]]&lt;=15,"Very short",CallData[[#This Row],[Duration]]&lt;=30,"Short",CallData[[#This Row],[Duration]]&lt;=60,"Medium",CallData[[#This Row],[Duration]]&gt;60,"Long")</f>
        <v>Long</v>
      </c>
      <c r="E953" s="24" t="s">
        <v>19</v>
      </c>
      <c r="F953" s="25">
        <v>45262</v>
      </c>
      <c r="G953" s="26">
        <v>72</v>
      </c>
      <c r="H953" s="26" t="str" cm="1">
        <f t="array" ref="H953">_xlfn.IFS(CallData[[#This Row],[Purchase Amount]]&lt;=50,"Low",CallData[[#This Row],[Purchase Amount]]&lt;=100,"Medium",CallData[[#This Row],[Purchase Amount]]&lt;=150,"High",CallData[[#This Row],[Purchase Amount]]&gt;150,"Very High")</f>
        <v>Medium</v>
      </c>
      <c r="I953" s="23">
        <v>3.7</v>
      </c>
      <c r="J953" s="23">
        <f>IF(MONTH('Call Data'!$F953)&lt;=6, YEAR('Call Data'!$F953), YEAR('Call Data'!$F953)+1)</f>
        <v>2024</v>
      </c>
      <c r="K953" s="23" t="str">
        <f>TEXT('Call Data'!$F953,"DDDD")</f>
        <v>Saturday</v>
      </c>
      <c r="L953" s="23" t="s">
        <v>14</v>
      </c>
      <c r="M953" s="23">
        <f>ROUND('Call Data'!$I953,0)</f>
        <v>4</v>
      </c>
    </row>
    <row r="954" spans="1:13" ht="14.25" customHeight="1" x14ac:dyDescent="0.35">
      <c r="A954" s="23" t="s">
        <v>988</v>
      </c>
      <c r="B954" s="23" t="s">
        <v>50</v>
      </c>
      <c r="C954" s="23">
        <v>62</v>
      </c>
      <c r="D954" s="24" t="str" cm="1">
        <f t="array" ref="D954">_xlfn.IFS(CallData[[#This Row],[Duration]]&lt;=15,"Very short",CallData[[#This Row],[Duration]]&lt;=30,"Short",CallData[[#This Row],[Duration]]&lt;=60,"Medium",CallData[[#This Row],[Duration]]&gt;60,"Long")</f>
        <v>Long</v>
      </c>
      <c r="E954" s="24" t="s">
        <v>13</v>
      </c>
      <c r="F954" s="25">
        <v>45262</v>
      </c>
      <c r="G954" s="26">
        <v>205</v>
      </c>
      <c r="H954" s="26" t="str" cm="1">
        <f t="array" ref="H954">_xlfn.IFS(CallData[[#This Row],[Purchase Amount]]&lt;=50,"Low",CallData[[#This Row],[Purchase Amount]]&lt;=100,"Medium",CallData[[#This Row],[Purchase Amount]]&lt;=150,"High",CallData[[#This Row],[Purchase Amount]]&gt;150,"Very High")</f>
        <v>Very High</v>
      </c>
      <c r="I954" s="23">
        <v>4.2</v>
      </c>
      <c r="J954" s="23">
        <f>IF(MONTH('Call Data'!$F954)&lt;=6, YEAR('Call Data'!$F954), YEAR('Call Data'!$F954)+1)</f>
        <v>2024</v>
      </c>
      <c r="K954" s="23" t="str">
        <f>TEXT('Call Data'!$F954,"DDDD")</f>
        <v>Saturday</v>
      </c>
      <c r="L954" s="23" t="s">
        <v>14</v>
      </c>
      <c r="M954" s="23">
        <f>ROUND('Call Data'!$I954,0)</f>
        <v>4</v>
      </c>
    </row>
    <row r="955" spans="1:13" ht="14.25" customHeight="1" x14ac:dyDescent="0.35">
      <c r="A955" s="23" t="s">
        <v>989</v>
      </c>
      <c r="B955" s="23" t="s">
        <v>16</v>
      </c>
      <c r="C955" s="23">
        <v>149</v>
      </c>
      <c r="D955" s="24" t="str" cm="1">
        <f t="array" ref="D955">_xlfn.IFS(CallData[[#This Row],[Duration]]&lt;=15,"Very short",CallData[[#This Row],[Duration]]&lt;=30,"Short",CallData[[#This Row],[Duration]]&lt;=60,"Medium",CallData[[#This Row],[Duration]]&gt;60,"Long")</f>
        <v>Long</v>
      </c>
      <c r="E955" s="24" t="s">
        <v>19</v>
      </c>
      <c r="F955" s="25">
        <v>45263</v>
      </c>
      <c r="G955" s="26">
        <v>42</v>
      </c>
      <c r="H955" s="26" t="str" cm="1">
        <f t="array" ref="H955">_xlfn.IFS(CallData[[#This Row],[Purchase Amount]]&lt;=50,"Low",CallData[[#This Row],[Purchase Amount]]&lt;=100,"Medium",CallData[[#This Row],[Purchase Amount]]&lt;=150,"High",CallData[[#This Row],[Purchase Amount]]&gt;150,"Very High")</f>
        <v>Low</v>
      </c>
      <c r="I955" s="23">
        <v>3.3</v>
      </c>
      <c r="J955" s="23">
        <f>IF(MONTH('Call Data'!$F955)&lt;=6, YEAR('Call Data'!$F955), YEAR('Call Data'!$F955)+1)</f>
        <v>2024</v>
      </c>
      <c r="K955" s="23" t="str">
        <f>TEXT('Call Data'!$F955,"DDDD")</f>
        <v>Sunday</v>
      </c>
      <c r="L955" s="23" t="s">
        <v>25</v>
      </c>
      <c r="M955" s="23">
        <f>ROUND('Call Data'!$I955,0)</f>
        <v>3</v>
      </c>
    </row>
    <row r="956" spans="1:13" ht="14.25" customHeight="1" x14ac:dyDescent="0.35">
      <c r="A956" s="23" t="s">
        <v>990</v>
      </c>
      <c r="B956" s="23" t="s">
        <v>38</v>
      </c>
      <c r="C956" s="23">
        <v>133</v>
      </c>
      <c r="D956" s="24" t="str" cm="1">
        <f t="array" ref="D956">_xlfn.IFS(CallData[[#This Row],[Duration]]&lt;=15,"Very short",CallData[[#This Row],[Duration]]&lt;=30,"Short",CallData[[#This Row],[Duration]]&lt;=60,"Medium",CallData[[#This Row],[Duration]]&gt;60,"Long")</f>
        <v>Long</v>
      </c>
      <c r="E956" s="24" t="s">
        <v>13</v>
      </c>
      <c r="F956" s="25">
        <v>45263</v>
      </c>
      <c r="G956" s="26">
        <v>96</v>
      </c>
      <c r="H956" s="26" t="str" cm="1">
        <f t="array" ref="H956">_xlfn.IFS(CallData[[#This Row],[Purchase Amount]]&lt;=50,"Low",CallData[[#This Row],[Purchase Amount]]&lt;=100,"Medium",CallData[[#This Row],[Purchase Amount]]&lt;=150,"High",CallData[[#This Row],[Purchase Amount]]&gt;150,"Very High")</f>
        <v>Medium</v>
      </c>
      <c r="I956" s="23">
        <v>4.3</v>
      </c>
      <c r="J956" s="23">
        <f>IF(MONTH('Call Data'!$F956)&lt;=6, YEAR('Call Data'!$F956), YEAR('Call Data'!$F956)+1)</f>
        <v>2024</v>
      </c>
      <c r="K956" s="23" t="str">
        <f>TEXT('Call Data'!$F956,"DDDD")</f>
        <v>Sunday</v>
      </c>
      <c r="L956" s="23" t="s">
        <v>25</v>
      </c>
      <c r="M956" s="23">
        <f>ROUND('Call Data'!$I956,0)</f>
        <v>4</v>
      </c>
    </row>
    <row r="957" spans="1:13" ht="14.25" customHeight="1" x14ac:dyDescent="0.35">
      <c r="A957" s="23" t="s">
        <v>991</v>
      </c>
      <c r="B957" s="23" t="s">
        <v>21</v>
      </c>
      <c r="C957" s="23">
        <v>51</v>
      </c>
      <c r="D957" s="24" t="str" cm="1">
        <f t="array" ref="D957">_xlfn.IFS(CallData[[#This Row],[Duration]]&lt;=15,"Very short",CallData[[#This Row],[Duration]]&lt;=30,"Short",CallData[[#This Row],[Duration]]&lt;=60,"Medium",CallData[[#This Row],[Duration]]&gt;60,"Long")</f>
        <v>Medium</v>
      </c>
      <c r="E957" s="24" t="s">
        <v>35</v>
      </c>
      <c r="F957" s="25">
        <v>45263</v>
      </c>
      <c r="G957" s="26">
        <v>64</v>
      </c>
      <c r="H957" s="26" t="str" cm="1">
        <f t="array" ref="H957">_xlfn.IFS(CallData[[#This Row],[Purchase Amount]]&lt;=50,"Low",CallData[[#This Row],[Purchase Amount]]&lt;=100,"Medium",CallData[[#This Row],[Purchase Amount]]&lt;=150,"High",CallData[[#This Row],[Purchase Amount]]&gt;150,"Very High")</f>
        <v>Medium</v>
      </c>
      <c r="I957" s="23">
        <v>3.7</v>
      </c>
      <c r="J957" s="23">
        <f>IF(MONTH('Call Data'!$F957)&lt;=6, YEAR('Call Data'!$F957), YEAR('Call Data'!$F957)+1)</f>
        <v>2024</v>
      </c>
      <c r="K957" s="23" t="str">
        <f>TEXT('Call Data'!$F957,"DDDD")</f>
        <v>Sunday</v>
      </c>
      <c r="L957" s="23" t="s">
        <v>27</v>
      </c>
      <c r="M957" s="23">
        <f>ROUND('Call Data'!$I957,0)</f>
        <v>4</v>
      </c>
    </row>
    <row r="958" spans="1:13" ht="14.25" customHeight="1" x14ac:dyDescent="0.35">
      <c r="A958" s="23" t="s">
        <v>992</v>
      </c>
      <c r="B958" s="23" t="s">
        <v>50</v>
      </c>
      <c r="C958" s="23">
        <v>110</v>
      </c>
      <c r="D958" s="24" t="str" cm="1">
        <f t="array" ref="D958">_xlfn.IFS(CallData[[#This Row],[Duration]]&lt;=15,"Very short",CallData[[#This Row],[Duration]]&lt;=30,"Short",CallData[[#This Row],[Duration]]&lt;=60,"Medium",CallData[[#This Row],[Duration]]&gt;60,"Long")</f>
        <v>Long</v>
      </c>
      <c r="E958" s="24" t="s">
        <v>13</v>
      </c>
      <c r="F958" s="25">
        <v>45264</v>
      </c>
      <c r="G958" s="26">
        <v>72</v>
      </c>
      <c r="H958" s="26" t="str" cm="1">
        <f t="array" ref="H958">_xlfn.IFS(CallData[[#This Row],[Purchase Amount]]&lt;=50,"Low",CallData[[#This Row],[Purchase Amount]]&lt;=100,"Medium",CallData[[#This Row],[Purchase Amount]]&lt;=150,"High",CallData[[#This Row],[Purchase Amount]]&gt;150,"Very High")</f>
        <v>Medium</v>
      </c>
      <c r="I958" s="23">
        <v>3.7</v>
      </c>
      <c r="J958" s="23">
        <f>IF(MONTH('Call Data'!$F958)&lt;=6, YEAR('Call Data'!$F958), YEAR('Call Data'!$F958)+1)</f>
        <v>2024</v>
      </c>
      <c r="K958" s="23" t="str">
        <f>TEXT('Call Data'!$F958,"DDDD")</f>
        <v>Monday</v>
      </c>
      <c r="L958" s="23" t="s">
        <v>14</v>
      </c>
      <c r="M958" s="23">
        <f>ROUND('Call Data'!$I958,0)</f>
        <v>4</v>
      </c>
    </row>
    <row r="959" spans="1:13" ht="14.25" customHeight="1" x14ac:dyDescent="0.35">
      <c r="A959" s="23" t="s">
        <v>993</v>
      </c>
      <c r="B959" s="23" t="s">
        <v>34</v>
      </c>
      <c r="C959" s="23">
        <v>38</v>
      </c>
      <c r="D959" s="24" t="str" cm="1">
        <f t="array" ref="D959">_xlfn.IFS(CallData[[#This Row],[Duration]]&lt;=15,"Very short",CallData[[#This Row],[Duration]]&lt;=30,"Short",CallData[[#This Row],[Duration]]&lt;=60,"Medium",CallData[[#This Row],[Duration]]&gt;60,"Long")</f>
        <v>Medium</v>
      </c>
      <c r="E959" s="24" t="s">
        <v>31</v>
      </c>
      <c r="F959" s="25">
        <v>45265</v>
      </c>
      <c r="G959" s="26">
        <v>27</v>
      </c>
      <c r="H959" s="26" t="str" cm="1">
        <f t="array" ref="H959">_xlfn.IFS(CallData[[#This Row],[Purchase Amount]]&lt;=50,"Low",CallData[[#This Row],[Purchase Amount]]&lt;=100,"Medium",CallData[[#This Row],[Purchase Amount]]&lt;=150,"High",CallData[[#This Row],[Purchase Amount]]&gt;150,"Very High")</f>
        <v>Low</v>
      </c>
      <c r="I959" s="23">
        <v>3.1</v>
      </c>
      <c r="J959" s="23">
        <f>IF(MONTH('Call Data'!$F959)&lt;=6, YEAR('Call Data'!$F959), YEAR('Call Data'!$F959)+1)</f>
        <v>2024</v>
      </c>
      <c r="K959" s="23" t="str">
        <f>TEXT('Call Data'!$F959,"DDDD")</f>
        <v>Tuesday</v>
      </c>
      <c r="L959" s="23" t="s">
        <v>27</v>
      </c>
      <c r="M959" s="23">
        <f>ROUND('Call Data'!$I959,0)</f>
        <v>3</v>
      </c>
    </row>
    <row r="960" spans="1:13" ht="14.25" customHeight="1" x14ac:dyDescent="0.35">
      <c r="A960" s="23" t="s">
        <v>994</v>
      </c>
      <c r="B960" s="23" t="s">
        <v>38</v>
      </c>
      <c r="C960" s="23">
        <v>78</v>
      </c>
      <c r="D960" s="24" t="str" cm="1">
        <f t="array" ref="D960">_xlfn.IFS(CallData[[#This Row],[Duration]]&lt;=15,"Very short",CallData[[#This Row],[Duration]]&lt;=30,"Short",CallData[[#This Row],[Duration]]&lt;=60,"Medium",CallData[[#This Row],[Duration]]&gt;60,"Long")</f>
        <v>Long</v>
      </c>
      <c r="E960" s="24" t="s">
        <v>31</v>
      </c>
      <c r="F960" s="25">
        <v>45267</v>
      </c>
      <c r="G960" s="26">
        <v>200</v>
      </c>
      <c r="H960" s="26" t="str" cm="1">
        <f t="array" ref="H960">_xlfn.IFS(CallData[[#This Row],[Purchase Amount]]&lt;=50,"Low",CallData[[#This Row],[Purchase Amount]]&lt;=100,"Medium",CallData[[#This Row],[Purchase Amount]]&lt;=150,"High",CallData[[#This Row],[Purchase Amount]]&gt;150,"Very High")</f>
        <v>Very High</v>
      </c>
      <c r="I960" s="23">
        <v>2.4</v>
      </c>
      <c r="J960" s="23">
        <f>IF(MONTH('Call Data'!$F960)&lt;=6, YEAR('Call Data'!$F960), YEAR('Call Data'!$F960)+1)</f>
        <v>2024</v>
      </c>
      <c r="K960" s="23" t="str">
        <f>TEXT('Call Data'!$F960,"DDDD")</f>
        <v>Thursday</v>
      </c>
      <c r="L960" s="23" t="s">
        <v>14</v>
      </c>
      <c r="M960" s="23">
        <f>ROUND('Call Data'!$I960,0)</f>
        <v>2</v>
      </c>
    </row>
    <row r="961" spans="1:13" ht="14.25" customHeight="1" x14ac:dyDescent="0.35">
      <c r="A961" s="23" t="s">
        <v>995</v>
      </c>
      <c r="B961" s="23" t="s">
        <v>34</v>
      </c>
      <c r="C961" s="23">
        <v>25</v>
      </c>
      <c r="D961" s="24" t="str" cm="1">
        <f t="array" ref="D961">_xlfn.IFS(CallData[[#This Row],[Duration]]&lt;=15,"Very short",CallData[[#This Row],[Duration]]&lt;=30,"Short",CallData[[#This Row],[Duration]]&lt;=60,"Medium",CallData[[#This Row],[Duration]]&gt;60,"Long")</f>
        <v>Short</v>
      </c>
      <c r="E961" s="24" t="s">
        <v>19</v>
      </c>
      <c r="F961" s="25">
        <v>45268</v>
      </c>
      <c r="G961" s="26">
        <v>93</v>
      </c>
      <c r="H961" s="26" t="str" cm="1">
        <f t="array" ref="H961">_xlfn.IFS(CallData[[#This Row],[Purchase Amount]]&lt;=50,"Low",CallData[[#This Row],[Purchase Amount]]&lt;=100,"Medium",CallData[[#This Row],[Purchase Amount]]&lt;=150,"High",CallData[[#This Row],[Purchase Amount]]&gt;150,"Very High")</f>
        <v>Medium</v>
      </c>
      <c r="I961" s="23">
        <v>3.5</v>
      </c>
      <c r="J961" s="23">
        <f>IF(MONTH('Call Data'!$F961)&lt;=6, YEAR('Call Data'!$F961), YEAR('Call Data'!$F961)+1)</f>
        <v>2024</v>
      </c>
      <c r="K961" s="23" t="str">
        <f>TEXT('Call Data'!$F961,"DDDD")</f>
        <v>Friday</v>
      </c>
      <c r="L961" s="23" t="s">
        <v>47</v>
      </c>
      <c r="M961" s="23">
        <f>ROUND('Call Data'!$I961,0)</f>
        <v>4</v>
      </c>
    </row>
    <row r="962" spans="1:13" ht="14.25" customHeight="1" x14ac:dyDescent="0.35">
      <c r="A962" s="23" t="s">
        <v>996</v>
      </c>
      <c r="B962" s="23" t="s">
        <v>58</v>
      </c>
      <c r="C962" s="23">
        <v>50</v>
      </c>
      <c r="D962" s="24" t="str" cm="1">
        <f t="array" ref="D962">_xlfn.IFS(CallData[[#This Row],[Duration]]&lt;=15,"Very short",CallData[[#This Row],[Duration]]&lt;=30,"Short",CallData[[#This Row],[Duration]]&lt;=60,"Medium",CallData[[#This Row],[Duration]]&gt;60,"Long")</f>
        <v>Medium</v>
      </c>
      <c r="E962" s="24" t="s">
        <v>35</v>
      </c>
      <c r="F962" s="25">
        <v>45268</v>
      </c>
      <c r="G962" s="26">
        <v>54</v>
      </c>
      <c r="H962" s="26" t="str" cm="1">
        <f t="array" ref="H962">_xlfn.IFS(CallData[[#This Row],[Purchase Amount]]&lt;=50,"Low",CallData[[#This Row],[Purchase Amount]]&lt;=100,"Medium",CallData[[#This Row],[Purchase Amount]]&lt;=150,"High",CallData[[#This Row],[Purchase Amount]]&gt;150,"Very High")</f>
        <v>Medium</v>
      </c>
      <c r="I962" s="23">
        <v>4.3</v>
      </c>
      <c r="J962" s="23">
        <f>IF(MONTH('Call Data'!$F962)&lt;=6, YEAR('Call Data'!$F962), YEAR('Call Data'!$F962)+1)</f>
        <v>2024</v>
      </c>
      <c r="K962" s="23" t="str">
        <f>TEXT('Call Data'!$F962,"DDDD")</f>
        <v>Friday</v>
      </c>
      <c r="L962" s="23" t="s">
        <v>27</v>
      </c>
      <c r="M962" s="23">
        <f>ROUND('Call Data'!$I962,0)</f>
        <v>4</v>
      </c>
    </row>
    <row r="963" spans="1:13" ht="14.25" customHeight="1" x14ac:dyDescent="0.35">
      <c r="A963" s="23" t="s">
        <v>997</v>
      </c>
      <c r="B963" s="23" t="s">
        <v>34</v>
      </c>
      <c r="C963" s="23">
        <v>103</v>
      </c>
      <c r="D963" s="24" t="str" cm="1">
        <f t="array" ref="D963">_xlfn.IFS(CallData[[#This Row],[Duration]]&lt;=15,"Very short",CallData[[#This Row],[Duration]]&lt;=30,"Short",CallData[[#This Row],[Duration]]&lt;=60,"Medium",CallData[[#This Row],[Duration]]&gt;60,"Long")</f>
        <v>Long</v>
      </c>
      <c r="E963" s="24" t="s">
        <v>19</v>
      </c>
      <c r="F963" s="25">
        <v>45269</v>
      </c>
      <c r="G963" s="26">
        <v>72</v>
      </c>
      <c r="H963" s="26" t="str" cm="1">
        <f t="array" ref="H963">_xlfn.IFS(CallData[[#This Row],[Purchase Amount]]&lt;=50,"Low",CallData[[#This Row],[Purchase Amount]]&lt;=100,"Medium",CallData[[#This Row],[Purchase Amount]]&lt;=150,"High",CallData[[#This Row],[Purchase Amount]]&gt;150,"Very High")</f>
        <v>Medium</v>
      </c>
      <c r="I963" s="23">
        <v>3.4</v>
      </c>
      <c r="J963" s="23">
        <f>IF(MONTH('Call Data'!$F963)&lt;=6, YEAR('Call Data'!$F963), YEAR('Call Data'!$F963)+1)</f>
        <v>2024</v>
      </c>
      <c r="K963" s="23" t="str">
        <f>TEXT('Call Data'!$F963,"DDDD")</f>
        <v>Saturday</v>
      </c>
      <c r="L963" s="23" t="s">
        <v>14</v>
      </c>
      <c r="M963" s="23">
        <f>ROUND('Call Data'!$I963,0)</f>
        <v>3</v>
      </c>
    </row>
    <row r="964" spans="1:13" ht="14.25" customHeight="1" x14ac:dyDescent="0.35">
      <c r="A964" s="23" t="s">
        <v>998</v>
      </c>
      <c r="B964" s="23" t="s">
        <v>46</v>
      </c>
      <c r="C964" s="23">
        <v>63</v>
      </c>
      <c r="D964" s="24" t="str" cm="1">
        <f t="array" ref="D964">_xlfn.IFS(CallData[[#This Row],[Duration]]&lt;=15,"Very short",CallData[[#This Row],[Duration]]&lt;=30,"Short",CallData[[#This Row],[Duration]]&lt;=60,"Medium",CallData[[#This Row],[Duration]]&gt;60,"Long")</f>
        <v>Long</v>
      </c>
      <c r="E964" s="24" t="s">
        <v>24</v>
      </c>
      <c r="F964" s="25">
        <v>45269</v>
      </c>
      <c r="G964" s="26">
        <v>82</v>
      </c>
      <c r="H964" s="26" t="str" cm="1">
        <f t="array" ref="H964">_xlfn.IFS(CallData[[#This Row],[Purchase Amount]]&lt;=50,"Low",CallData[[#This Row],[Purchase Amount]]&lt;=100,"Medium",CallData[[#This Row],[Purchase Amount]]&lt;=150,"High",CallData[[#This Row],[Purchase Amount]]&gt;150,"Very High")</f>
        <v>Medium</v>
      </c>
      <c r="I964" s="23">
        <v>3.7</v>
      </c>
      <c r="J964" s="23">
        <f>IF(MONTH('Call Data'!$F964)&lt;=6, YEAR('Call Data'!$F964), YEAR('Call Data'!$F964)+1)</f>
        <v>2024</v>
      </c>
      <c r="K964" s="23" t="str">
        <f>TEXT('Call Data'!$F964,"DDDD")</f>
        <v>Saturday</v>
      </c>
      <c r="L964" s="23" t="s">
        <v>14</v>
      </c>
      <c r="M964" s="23">
        <f>ROUND('Call Data'!$I964,0)</f>
        <v>4</v>
      </c>
    </row>
    <row r="965" spans="1:13" ht="14.25" customHeight="1" x14ac:dyDescent="0.35">
      <c r="A965" s="23" t="s">
        <v>999</v>
      </c>
      <c r="B965" s="23" t="s">
        <v>58</v>
      </c>
      <c r="C965" s="23">
        <v>96</v>
      </c>
      <c r="D965" s="24" t="str" cm="1">
        <f t="array" ref="D965">_xlfn.IFS(CallData[[#This Row],[Duration]]&lt;=15,"Very short",CallData[[#This Row],[Duration]]&lt;=30,"Short",CallData[[#This Row],[Duration]]&lt;=60,"Medium",CallData[[#This Row],[Duration]]&gt;60,"Long")</f>
        <v>Long</v>
      </c>
      <c r="E965" s="24" t="s">
        <v>35</v>
      </c>
      <c r="F965" s="25">
        <v>45273</v>
      </c>
      <c r="G965" s="26">
        <v>164</v>
      </c>
      <c r="H965" s="26" t="str" cm="1">
        <f t="array" ref="H965">_xlfn.IFS(CallData[[#This Row],[Purchase Amount]]&lt;=50,"Low",CallData[[#This Row],[Purchase Amount]]&lt;=100,"Medium",CallData[[#This Row],[Purchase Amount]]&lt;=150,"High",CallData[[#This Row],[Purchase Amount]]&gt;150,"Very High")</f>
        <v>Very High</v>
      </c>
      <c r="I965" s="23">
        <v>4.8</v>
      </c>
      <c r="J965" s="23">
        <f>IF(MONTH('Call Data'!$F965)&lt;=6, YEAR('Call Data'!$F965), YEAR('Call Data'!$F965)+1)</f>
        <v>2024</v>
      </c>
      <c r="K965" s="23" t="str">
        <f>TEXT('Call Data'!$F965,"DDDD")</f>
        <v>Wednesday</v>
      </c>
      <c r="L965" s="23" t="s">
        <v>14</v>
      </c>
      <c r="M965" s="23">
        <f>ROUND('Call Data'!$I965,0)</f>
        <v>5</v>
      </c>
    </row>
    <row r="966" spans="1:13" ht="14.25" customHeight="1" x14ac:dyDescent="0.35">
      <c r="A966" s="23" t="s">
        <v>1000</v>
      </c>
      <c r="B966" s="23" t="s">
        <v>18</v>
      </c>
      <c r="C966" s="23">
        <v>94</v>
      </c>
      <c r="D966" s="24" t="str" cm="1">
        <f t="array" ref="D966">_xlfn.IFS(CallData[[#This Row],[Duration]]&lt;=15,"Very short",CallData[[#This Row],[Duration]]&lt;=30,"Short",CallData[[#This Row],[Duration]]&lt;=60,"Medium",CallData[[#This Row],[Duration]]&gt;60,"Long")</f>
        <v>Long</v>
      </c>
      <c r="E966" s="24" t="s">
        <v>19</v>
      </c>
      <c r="F966" s="25">
        <v>45273</v>
      </c>
      <c r="G966" s="26">
        <v>78</v>
      </c>
      <c r="H966" s="26" t="str" cm="1">
        <f t="array" ref="H966">_xlfn.IFS(CallData[[#This Row],[Purchase Amount]]&lt;=50,"Low",CallData[[#This Row],[Purchase Amount]]&lt;=100,"Medium",CallData[[#This Row],[Purchase Amount]]&lt;=150,"High",CallData[[#This Row],[Purchase Amount]]&gt;150,"Very High")</f>
        <v>Medium</v>
      </c>
      <c r="I966" s="23">
        <v>3.3</v>
      </c>
      <c r="J966" s="23">
        <f>IF(MONTH('Call Data'!$F966)&lt;=6, YEAR('Call Data'!$F966), YEAR('Call Data'!$F966)+1)</f>
        <v>2024</v>
      </c>
      <c r="K966" s="23" t="str">
        <f>TEXT('Call Data'!$F966,"DDDD")</f>
        <v>Wednesday</v>
      </c>
      <c r="L966" s="23" t="s">
        <v>14</v>
      </c>
      <c r="M966" s="23">
        <f>ROUND('Call Data'!$I966,0)</f>
        <v>3</v>
      </c>
    </row>
    <row r="967" spans="1:13" ht="14.25" customHeight="1" x14ac:dyDescent="0.35">
      <c r="A967" s="23" t="s">
        <v>1001</v>
      </c>
      <c r="B967" s="23" t="s">
        <v>50</v>
      </c>
      <c r="C967" s="23">
        <v>46</v>
      </c>
      <c r="D967" s="24" t="str" cm="1">
        <f t="array" ref="D967">_xlfn.IFS(CallData[[#This Row],[Duration]]&lt;=15,"Very short",CallData[[#This Row],[Duration]]&lt;=30,"Short",CallData[[#This Row],[Duration]]&lt;=60,"Medium",CallData[[#This Row],[Duration]]&gt;60,"Long")</f>
        <v>Medium</v>
      </c>
      <c r="E967" s="24" t="s">
        <v>31</v>
      </c>
      <c r="F967" s="25">
        <v>45274</v>
      </c>
      <c r="G967" s="26">
        <v>135</v>
      </c>
      <c r="H967" s="26" t="str" cm="1">
        <f t="array" ref="H967">_xlfn.IFS(CallData[[#This Row],[Purchase Amount]]&lt;=50,"Low",CallData[[#This Row],[Purchase Amount]]&lt;=100,"Medium",CallData[[#This Row],[Purchase Amount]]&lt;=150,"High",CallData[[#This Row],[Purchase Amount]]&gt;150,"Very High")</f>
        <v>High</v>
      </c>
      <c r="I967" s="23">
        <v>4.2</v>
      </c>
      <c r="J967" s="23">
        <f>IF(MONTH('Call Data'!$F967)&lt;=6, YEAR('Call Data'!$F967), YEAR('Call Data'!$F967)+1)</f>
        <v>2024</v>
      </c>
      <c r="K967" s="23" t="str">
        <f>TEXT('Call Data'!$F967,"DDDD")</f>
        <v>Thursday</v>
      </c>
      <c r="L967" s="23" t="s">
        <v>27</v>
      </c>
      <c r="M967" s="23">
        <f>ROUND('Call Data'!$I967,0)</f>
        <v>4</v>
      </c>
    </row>
    <row r="968" spans="1:13" ht="14.25" customHeight="1" x14ac:dyDescent="0.35">
      <c r="A968" s="23" t="s">
        <v>1002</v>
      </c>
      <c r="B968" s="23" t="s">
        <v>88</v>
      </c>
      <c r="C968" s="23">
        <v>127</v>
      </c>
      <c r="D968" s="24" t="str" cm="1">
        <f t="array" ref="D968">_xlfn.IFS(CallData[[#This Row],[Duration]]&lt;=15,"Very short",CallData[[#This Row],[Duration]]&lt;=30,"Short",CallData[[#This Row],[Duration]]&lt;=60,"Medium",CallData[[#This Row],[Duration]]&gt;60,"Long")</f>
        <v>Long</v>
      </c>
      <c r="E968" s="24" t="s">
        <v>35</v>
      </c>
      <c r="F968" s="25">
        <v>45275</v>
      </c>
      <c r="G968" s="26">
        <v>145</v>
      </c>
      <c r="H968" s="26" t="str" cm="1">
        <f t="array" ref="H968">_xlfn.IFS(CallData[[#This Row],[Purchase Amount]]&lt;=50,"Low",CallData[[#This Row],[Purchase Amount]]&lt;=100,"Medium",CallData[[#This Row],[Purchase Amount]]&lt;=150,"High",CallData[[#This Row],[Purchase Amount]]&gt;150,"Very High")</f>
        <v>High</v>
      </c>
      <c r="I968" s="23">
        <v>2.6</v>
      </c>
      <c r="J968" s="23">
        <f>IF(MONTH('Call Data'!$F968)&lt;=6, YEAR('Call Data'!$F968), YEAR('Call Data'!$F968)+1)</f>
        <v>2024</v>
      </c>
      <c r="K968" s="23" t="str">
        <f>TEXT('Call Data'!$F968,"DDDD")</f>
        <v>Friday</v>
      </c>
      <c r="L968" s="23" t="s">
        <v>25</v>
      </c>
      <c r="M968" s="23">
        <f>ROUND('Call Data'!$I968,0)</f>
        <v>3</v>
      </c>
    </row>
    <row r="969" spans="1:13" ht="14.25" customHeight="1" x14ac:dyDescent="0.35">
      <c r="A969" s="23" t="s">
        <v>1003</v>
      </c>
      <c r="B969" s="23" t="s">
        <v>29</v>
      </c>
      <c r="C969" s="23">
        <v>96</v>
      </c>
      <c r="D969" s="24" t="str" cm="1">
        <f t="array" ref="D969">_xlfn.IFS(CallData[[#This Row],[Duration]]&lt;=15,"Very short",CallData[[#This Row],[Duration]]&lt;=30,"Short",CallData[[#This Row],[Duration]]&lt;=60,"Medium",CallData[[#This Row],[Duration]]&gt;60,"Long")</f>
        <v>Long</v>
      </c>
      <c r="E969" s="24" t="s">
        <v>31</v>
      </c>
      <c r="F969" s="25">
        <v>45275</v>
      </c>
      <c r="G969" s="26">
        <v>115</v>
      </c>
      <c r="H969" s="26" t="str" cm="1">
        <f t="array" ref="H969">_xlfn.IFS(CallData[[#This Row],[Purchase Amount]]&lt;=50,"Low",CallData[[#This Row],[Purchase Amount]]&lt;=100,"Medium",CallData[[#This Row],[Purchase Amount]]&lt;=150,"High",CallData[[#This Row],[Purchase Amount]]&gt;150,"Very High")</f>
        <v>High</v>
      </c>
      <c r="I969" s="23">
        <v>4.9000000000000004</v>
      </c>
      <c r="J969" s="23">
        <f>IF(MONTH('Call Data'!$F969)&lt;=6, YEAR('Call Data'!$F969), YEAR('Call Data'!$F969)+1)</f>
        <v>2024</v>
      </c>
      <c r="K969" s="23" t="str">
        <f>TEXT('Call Data'!$F969,"DDDD")</f>
        <v>Friday</v>
      </c>
      <c r="L969" s="23" t="s">
        <v>14</v>
      </c>
      <c r="M969" s="23">
        <f>ROUND('Call Data'!$I969,0)</f>
        <v>5</v>
      </c>
    </row>
    <row r="970" spans="1:13" ht="14.25" customHeight="1" x14ac:dyDescent="0.35">
      <c r="A970" s="23" t="s">
        <v>1004</v>
      </c>
      <c r="B970" s="23" t="s">
        <v>68</v>
      </c>
      <c r="C970" s="23">
        <v>151</v>
      </c>
      <c r="D970" s="24" t="str" cm="1">
        <f t="array" ref="D970">_xlfn.IFS(CallData[[#This Row],[Duration]]&lt;=15,"Very short",CallData[[#This Row],[Duration]]&lt;=30,"Short",CallData[[#This Row],[Duration]]&lt;=60,"Medium",CallData[[#This Row],[Duration]]&gt;60,"Long")</f>
        <v>Long</v>
      </c>
      <c r="E970" s="24" t="s">
        <v>19</v>
      </c>
      <c r="F970" s="25">
        <v>45275</v>
      </c>
      <c r="G970" s="26">
        <v>117</v>
      </c>
      <c r="H970" s="26" t="str" cm="1">
        <f t="array" ref="H970">_xlfn.IFS(CallData[[#This Row],[Purchase Amount]]&lt;=50,"Low",CallData[[#This Row],[Purchase Amount]]&lt;=100,"Medium",CallData[[#This Row],[Purchase Amount]]&lt;=150,"High",CallData[[#This Row],[Purchase Amount]]&gt;150,"Very High")</f>
        <v>High</v>
      </c>
      <c r="I970" s="23">
        <v>2</v>
      </c>
      <c r="J970" s="23">
        <f>IF(MONTH('Call Data'!$F970)&lt;=6, YEAR('Call Data'!$F970), YEAR('Call Data'!$F970)+1)</f>
        <v>2024</v>
      </c>
      <c r="K970" s="23" t="str">
        <f>TEXT('Call Data'!$F970,"DDDD")</f>
        <v>Friday</v>
      </c>
      <c r="L970" s="23" t="s">
        <v>25</v>
      </c>
      <c r="M970" s="23">
        <f>ROUND('Call Data'!$I970,0)</f>
        <v>2</v>
      </c>
    </row>
    <row r="971" spans="1:13" ht="14.25" customHeight="1" x14ac:dyDescent="0.35">
      <c r="A971" s="23" t="s">
        <v>1005</v>
      </c>
      <c r="B971" s="23" t="s">
        <v>88</v>
      </c>
      <c r="C971" s="23">
        <v>158</v>
      </c>
      <c r="D971" s="24" t="str" cm="1">
        <f t="array" ref="D971">_xlfn.IFS(CallData[[#This Row],[Duration]]&lt;=15,"Very short",CallData[[#This Row],[Duration]]&lt;=30,"Short",CallData[[#This Row],[Duration]]&lt;=60,"Medium",CallData[[#This Row],[Duration]]&gt;60,"Long")</f>
        <v>Long</v>
      </c>
      <c r="E971" s="24" t="s">
        <v>13</v>
      </c>
      <c r="F971" s="25">
        <v>45276</v>
      </c>
      <c r="G971" s="26">
        <v>36</v>
      </c>
      <c r="H971" s="26" t="str" cm="1">
        <f t="array" ref="H971">_xlfn.IFS(CallData[[#This Row],[Purchase Amount]]&lt;=50,"Low",CallData[[#This Row],[Purchase Amount]]&lt;=100,"Medium",CallData[[#This Row],[Purchase Amount]]&lt;=150,"High",CallData[[#This Row],[Purchase Amount]]&gt;150,"Very High")</f>
        <v>Low</v>
      </c>
      <c r="I971" s="23">
        <v>4.7</v>
      </c>
      <c r="J971" s="23">
        <f>IF(MONTH('Call Data'!$F971)&lt;=6, YEAR('Call Data'!$F971), YEAR('Call Data'!$F971)+1)</f>
        <v>2024</v>
      </c>
      <c r="K971" s="23" t="str">
        <f>TEXT('Call Data'!$F971,"DDDD")</f>
        <v>Saturday</v>
      </c>
      <c r="L971" s="23" t="s">
        <v>25</v>
      </c>
      <c r="M971" s="23">
        <f>ROUND('Call Data'!$I971,0)</f>
        <v>5</v>
      </c>
    </row>
    <row r="972" spans="1:13" ht="14.25" customHeight="1" x14ac:dyDescent="0.35">
      <c r="A972" s="23" t="s">
        <v>1006</v>
      </c>
      <c r="B972" s="23" t="s">
        <v>18</v>
      </c>
      <c r="C972" s="23">
        <v>45</v>
      </c>
      <c r="D972" s="24" t="str" cm="1">
        <f t="array" ref="D972">_xlfn.IFS(CallData[[#This Row],[Duration]]&lt;=15,"Very short",CallData[[#This Row],[Duration]]&lt;=30,"Short",CallData[[#This Row],[Duration]]&lt;=60,"Medium",CallData[[#This Row],[Duration]]&gt;60,"Long")</f>
        <v>Medium</v>
      </c>
      <c r="E972" s="24" t="s">
        <v>13</v>
      </c>
      <c r="F972" s="25">
        <v>45276</v>
      </c>
      <c r="G972" s="26">
        <v>84</v>
      </c>
      <c r="H972" s="26" t="str" cm="1">
        <f t="array" ref="H972">_xlfn.IFS(CallData[[#This Row],[Purchase Amount]]&lt;=50,"Low",CallData[[#This Row],[Purchase Amount]]&lt;=100,"Medium",CallData[[#This Row],[Purchase Amount]]&lt;=150,"High",CallData[[#This Row],[Purchase Amount]]&gt;150,"Very High")</f>
        <v>Medium</v>
      </c>
      <c r="I972" s="23">
        <v>2.8</v>
      </c>
      <c r="J972" s="23">
        <f>IF(MONTH('Call Data'!$F972)&lt;=6, YEAR('Call Data'!$F972), YEAR('Call Data'!$F972)+1)</f>
        <v>2024</v>
      </c>
      <c r="K972" s="23" t="str">
        <f>TEXT('Call Data'!$F972,"DDDD")</f>
        <v>Saturday</v>
      </c>
      <c r="L972" s="23" t="s">
        <v>27</v>
      </c>
      <c r="M972" s="23">
        <f>ROUND('Call Data'!$I972,0)</f>
        <v>3</v>
      </c>
    </row>
    <row r="973" spans="1:13" ht="14.25" customHeight="1" x14ac:dyDescent="0.35">
      <c r="A973" s="23" t="s">
        <v>1007</v>
      </c>
      <c r="B973" s="23" t="s">
        <v>40</v>
      </c>
      <c r="C973" s="23">
        <v>141</v>
      </c>
      <c r="D973" s="24" t="str" cm="1">
        <f t="array" ref="D973">_xlfn.IFS(CallData[[#This Row],[Duration]]&lt;=15,"Very short",CallData[[#This Row],[Duration]]&lt;=30,"Short",CallData[[#This Row],[Duration]]&lt;=60,"Medium",CallData[[#This Row],[Duration]]&gt;60,"Long")</f>
        <v>Long</v>
      </c>
      <c r="E973" s="24" t="s">
        <v>13</v>
      </c>
      <c r="F973" s="25">
        <v>45276</v>
      </c>
      <c r="G973" s="26">
        <v>66</v>
      </c>
      <c r="H973" s="26" t="str" cm="1">
        <f t="array" ref="H973">_xlfn.IFS(CallData[[#This Row],[Purchase Amount]]&lt;=50,"Low",CallData[[#This Row],[Purchase Amount]]&lt;=100,"Medium",CallData[[#This Row],[Purchase Amount]]&lt;=150,"High",CallData[[#This Row],[Purchase Amount]]&gt;150,"Very High")</f>
        <v>Medium</v>
      </c>
      <c r="I973" s="23">
        <v>3.2</v>
      </c>
      <c r="J973" s="23">
        <f>IF(MONTH('Call Data'!$F973)&lt;=6, YEAR('Call Data'!$F973), YEAR('Call Data'!$F973)+1)</f>
        <v>2024</v>
      </c>
      <c r="K973" s="23" t="str">
        <f>TEXT('Call Data'!$F973,"DDDD")</f>
        <v>Saturday</v>
      </c>
      <c r="L973" s="23" t="s">
        <v>25</v>
      </c>
      <c r="M973" s="23">
        <f>ROUND('Call Data'!$I973,0)</f>
        <v>3</v>
      </c>
    </row>
    <row r="974" spans="1:13" ht="14.25" customHeight="1" x14ac:dyDescent="0.35">
      <c r="A974" s="23" t="s">
        <v>1008</v>
      </c>
      <c r="B974" s="23" t="s">
        <v>34</v>
      </c>
      <c r="C974" s="23">
        <v>147</v>
      </c>
      <c r="D974" s="24" t="str" cm="1">
        <f t="array" ref="D974">_xlfn.IFS(CallData[[#This Row],[Duration]]&lt;=15,"Very short",CallData[[#This Row],[Duration]]&lt;=30,"Short",CallData[[#This Row],[Duration]]&lt;=60,"Medium",CallData[[#This Row],[Duration]]&gt;60,"Long")</f>
        <v>Long</v>
      </c>
      <c r="E974" s="24" t="s">
        <v>31</v>
      </c>
      <c r="F974" s="25">
        <v>45276</v>
      </c>
      <c r="G974" s="26">
        <v>76</v>
      </c>
      <c r="H974" s="26" t="str" cm="1">
        <f t="array" ref="H974">_xlfn.IFS(CallData[[#This Row],[Purchase Amount]]&lt;=50,"Low",CallData[[#This Row],[Purchase Amount]]&lt;=100,"Medium",CallData[[#This Row],[Purchase Amount]]&lt;=150,"High",CallData[[#This Row],[Purchase Amount]]&gt;150,"Very High")</f>
        <v>Medium</v>
      </c>
      <c r="I974" s="23">
        <v>4.7</v>
      </c>
      <c r="J974" s="23">
        <f>IF(MONTH('Call Data'!$F974)&lt;=6, YEAR('Call Data'!$F974), YEAR('Call Data'!$F974)+1)</f>
        <v>2024</v>
      </c>
      <c r="K974" s="23" t="str">
        <f>TEXT('Call Data'!$F974,"DDDD")</f>
        <v>Saturday</v>
      </c>
      <c r="L974" s="23" t="s">
        <v>25</v>
      </c>
      <c r="M974" s="23">
        <f>ROUND('Call Data'!$I974,0)</f>
        <v>5</v>
      </c>
    </row>
    <row r="975" spans="1:13" ht="14.25" customHeight="1" x14ac:dyDescent="0.35">
      <c r="A975" s="23" t="s">
        <v>1009</v>
      </c>
      <c r="B975" s="23" t="s">
        <v>55</v>
      </c>
      <c r="C975" s="23">
        <v>126</v>
      </c>
      <c r="D975" s="24" t="str" cm="1">
        <f t="array" ref="D975">_xlfn.IFS(CallData[[#This Row],[Duration]]&lt;=15,"Very short",CallData[[#This Row],[Duration]]&lt;=30,"Short",CallData[[#This Row],[Duration]]&lt;=60,"Medium",CallData[[#This Row],[Duration]]&gt;60,"Long")</f>
        <v>Long</v>
      </c>
      <c r="E975" s="24" t="s">
        <v>31</v>
      </c>
      <c r="F975" s="25">
        <v>45276</v>
      </c>
      <c r="G975" s="26">
        <v>185</v>
      </c>
      <c r="H975" s="26" t="str" cm="1">
        <f t="array" ref="H975">_xlfn.IFS(CallData[[#This Row],[Purchase Amount]]&lt;=50,"Low",CallData[[#This Row],[Purchase Amount]]&lt;=100,"Medium",CallData[[#This Row],[Purchase Amount]]&lt;=150,"High",CallData[[#This Row],[Purchase Amount]]&gt;150,"Very High")</f>
        <v>Very High</v>
      </c>
      <c r="I975" s="23">
        <v>4.8</v>
      </c>
      <c r="J975" s="23">
        <f>IF(MONTH('Call Data'!$F975)&lt;=6, YEAR('Call Data'!$F975), YEAR('Call Data'!$F975)+1)</f>
        <v>2024</v>
      </c>
      <c r="K975" s="23" t="str">
        <f>TEXT('Call Data'!$F975,"DDDD")</f>
        <v>Saturday</v>
      </c>
      <c r="L975" s="23" t="s">
        <v>25</v>
      </c>
      <c r="M975" s="23">
        <f>ROUND('Call Data'!$I975,0)</f>
        <v>5</v>
      </c>
    </row>
    <row r="976" spans="1:13" ht="14.25" customHeight="1" x14ac:dyDescent="0.35">
      <c r="A976" s="23" t="s">
        <v>1010</v>
      </c>
      <c r="B976" s="23" t="s">
        <v>18</v>
      </c>
      <c r="C976" s="23">
        <v>126</v>
      </c>
      <c r="D976" s="24" t="str" cm="1">
        <f t="array" ref="D976">_xlfn.IFS(CallData[[#This Row],[Duration]]&lt;=15,"Very short",CallData[[#This Row],[Duration]]&lt;=30,"Short",CallData[[#This Row],[Duration]]&lt;=60,"Medium",CallData[[#This Row],[Duration]]&gt;60,"Long")</f>
        <v>Long</v>
      </c>
      <c r="E976" s="24" t="s">
        <v>24</v>
      </c>
      <c r="F976" s="25">
        <v>45277</v>
      </c>
      <c r="G976" s="26">
        <v>80</v>
      </c>
      <c r="H976" s="26" t="str" cm="1">
        <f t="array" ref="H976">_xlfn.IFS(CallData[[#This Row],[Purchase Amount]]&lt;=50,"Low",CallData[[#This Row],[Purchase Amount]]&lt;=100,"Medium",CallData[[#This Row],[Purchase Amount]]&lt;=150,"High",CallData[[#This Row],[Purchase Amount]]&gt;150,"Very High")</f>
        <v>Medium</v>
      </c>
      <c r="I976" s="23">
        <v>4.7</v>
      </c>
      <c r="J976" s="23">
        <f>IF(MONTH('Call Data'!$F976)&lt;=6, YEAR('Call Data'!$F976), YEAR('Call Data'!$F976)+1)</f>
        <v>2024</v>
      </c>
      <c r="K976" s="23" t="str">
        <f>TEXT('Call Data'!$F976,"DDDD")</f>
        <v>Sunday</v>
      </c>
      <c r="L976" s="23" t="s">
        <v>25</v>
      </c>
      <c r="M976" s="23">
        <f>ROUND('Call Data'!$I976,0)</f>
        <v>5</v>
      </c>
    </row>
    <row r="977" spans="1:13" ht="14.25" customHeight="1" x14ac:dyDescent="0.35">
      <c r="A977" s="23" t="s">
        <v>1011</v>
      </c>
      <c r="B977" s="23" t="s">
        <v>38</v>
      </c>
      <c r="C977" s="23">
        <v>32</v>
      </c>
      <c r="D977" s="24" t="str" cm="1">
        <f t="array" ref="D977">_xlfn.IFS(CallData[[#This Row],[Duration]]&lt;=15,"Very short",CallData[[#This Row],[Duration]]&lt;=30,"Short",CallData[[#This Row],[Duration]]&lt;=60,"Medium",CallData[[#This Row],[Duration]]&gt;60,"Long")</f>
        <v>Medium</v>
      </c>
      <c r="E977" s="24" t="s">
        <v>31</v>
      </c>
      <c r="F977" s="25">
        <v>45277</v>
      </c>
      <c r="G977" s="26">
        <v>148</v>
      </c>
      <c r="H977" s="26" t="str" cm="1">
        <f t="array" ref="H977">_xlfn.IFS(CallData[[#This Row],[Purchase Amount]]&lt;=50,"Low",CallData[[#This Row],[Purchase Amount]]&lt;=100,"Medium",CallData[[#This Row],[Purchase Amount]]&lt;=150,"High",CallData[[#This Row],[Purchase Amount]]&gt;150,"Very High")</f>
        <v>High</v>
      </c>
      <c r="I977" s="23">
        <v>4</v>
      </c>
      <c r="J977" s="23">
        <f>IF(MONTH('Call Data'!$F977)&lt;=6, YEAR('Call Data'!$F977), YEAR('Call Data'!$F977)+1)</f>
        <v>2024</v>
      </c>
      <c r="K977" s="23" t="str">
        <f>TEXT('Call Data'!$F977,"DDDD")</f>
        <v>Sunday</v>
      </c>
      <c r="L977" s="23" t="s">
        <v>27</v>
      </c>
      <c r="M977" s="23">
        <f>ROUND('Call Data'!$I977,0)</f>
        <v>4</v>
      </c>
    </row>
    <row r="978" spans="1:13" ht="14.25" customHeight="1" x14ac:dyDescent="0.35">
      <c r="A978" s="23" t="s">
        <v>1012</v>
      </c>
      <c r="B978" s="23" t="s">
        <v>18</v>
      </c>
      <c r="C978" s="23">
        <v>84</v>
      </c>
      <c r="D978" s="24" t="str" cm="1">
        <f t="array" ref="D978">_xlfn.IFS(CallData[[#This Row],[Duration]]&lt;=15,"Very short",CallData[[#This Row],[Duration]]&lt;=30,"Short",CallData[[#This Row],[Duration]]&lt;=60,"Medium",CallData[[#This Row],[Duration]]&gt;60,"Long")</f>
        <v>Long</v>
      </c>
      <c r="E978" s="24" t="s">
        <v>35</v>
      </c>
      <c r="F978" s="25">
        <v>45279</v>
      </c>
      <c r="G978" s="26">
        <v>180</v>
      </c>
      <c r="H978" s="26" t="str" cm="1">
        <f t="array" ref="H978">_xlfn.IFS(CallData[[#This Row],[Purchase Amount]]&lt;=50,"Low",CallData[[#This Row],[Purchase Amount]]&lt;=100,"Medium",CallData[[#This Row],[Purchase Amount]]&lt;=150,"High",CallData[[#This Row],[Purchase Amount]]&gt;150,"Very High")</f>
        <v>Very High</v>
      </c>
      <c r="I978" s="23">
        <v>4.9000000000000004</v>
      </c>
      <c r="J978" s="23">
        <f>IF(MONTH('Call Data'!$F978)&lt;=6, YEAR('Call Data'!$F978), YEAR('Call Data'!$F978)+1)</f>
        <v>2024</v>
      </c>
      <c r="K978" s="23" t="str">
        <f>TEXT('Call Data'!$F978,"DDDD")</f>
        <v>Tuesday</v>
      </c>
      <c r="L978" s="23" t="s">
        <v>14</v>
      </c>
      <c r="M978" s="23">
        <f>ROUND('Call Data'!$I978,0)</f>
        <v>5</v>
      </c>
    </row>
    <row r="979" spans="1:13" ht="14.25" customHeight="1" x14ac:dyDescent="0.35">
      <c r="A979" s="23" t="s">
        <v>1013</v>
      </c>
      <c r="B979" s="23" t="s">
        <v>46</v>
      </c>
      <c r="C979" s="23">
        <v>120</v>
      </c>
      <c r="D979" s="24" t="str" cm="1">
        <f t="array" ref="D979">_xlfn.IFS(CallData[[#This Row],[Duration]]&lt;=15,"Very short",CallData[[#This Row],[Duration]]&lt;=30,"Short",CallData[[#This Row],[Duration]]&lt;=60,"Medium",CallData[[#This Row],[Duration]]&gt;60,"Long")</f>
        <v>Long</v>
      </c>
      <c r="E979" s="24" t="s">
        <v>24</v>
      </c>
      <c r="F979" s="25">
        <v>45280</v>
      </c>
      <c r="G979" s="26">
        <v>190</v>
      </c>
      <c r="H979" s="26" t="str" cm="1">
        <f t="array" ref="H979">_xlfn.IFS(CallData[[#This Row],[Purchase Amount]]&lt;=50,"Low",CallData[[#This Row],[Purchase Amount]]&lt;=100,"Medium",CallData[[#This Row],[Purchase Amount]]&lt;=150,"High",CallData[[#This Row],[Purchase Amount]]&gt;150,"Very High")</f>
        <v>Very High</v>
      </c>
      <c r="I979" s="23">
        <v>3.7</v>
      </c>
      <c r="J979" s="23">
        <f>IF(MONTH('Call Data'!$F979)&lt;=6, YEAR('Call Data'!$F979), YEAR('Call Data'!$F979)+1)</f>
        <v>2024</v>
      </c>
      <c r="K979" s="23" t="str">
        <f>TEXT('Call Data'!$F979,"DDDD")</f>
        <v>Wednesday</v>
      </c>
      <c r="L979" s="23" t="s">
        <v>14</v>
      </c>
      <c r="M979" s="23">
        <f>ROUND('Call Data'!$I979,0)</f>
        <v>4</v>
      </c>
    </row>
    <row r="980" spans="1:13" ht="14.25" customHeight="1" x14ac:dyDescent="0.35">
      <c r="A980" s="23" t="s">
        <v>1014</v>
      </c>
      <c r="B980" s="23" t="s">
        <v>23</v>
      </c>
      <c r="C980" s="23">
        <v>93</v>
      </c>
      <c r="D980" s="24" t="str" cm="1">
        <f t="array" ref="D980">_xlfn.IFS(CallData[[#This Row],[Duration]]&lt;=15,"Very short",CallData[[#This Row],[Duration]]&lt;=30,"Short",CallData[[#This Row],[Duration]]&lt;=60,"Medium",CallData[[#This Row],[Duration]]&gt;60,"Long")</f>
        <v>Long</v>
      </c>
      <c r="E980" s="24" t="s">
        <v>31</v>
      </c>
      <c r="F980" s="25">
        <v>45280</v>
      </c>
      <c r="G980" s="26">
        <v>38</v>
      </c>
      <c r="H980" s="26" t="str" cm="1">
        <f t="array" ref="H980">_xlfn.IFS(CallData[[#This Row],[Purchase Amount]]&lt;=50,"Low",CallData[[#This Row],[Purchase Amount]]&lt;=100,"Medium",CallData[[#This Row],[Purchase Amount]]&lt;=150,"High",CallData[[#This Row],[Purchase Amount]]&gt;150,"Very High")</f>
        <v>Low</v>
      </c>
      <c r="I980" s="23">
        <v>4.5</v>
      </c>
      <c r="J980" s="23">
        <f>IF(MONTH('Call Data'!$F980)&lt;=6, YEAR('Call Data'!$F980), YEAR('Call Data'!$F980)+1)</f>
        <v>2024</v>
      </c>
      <c r="K980" s="23" t="str">
        <f>TEXT('Call Data'!$F980,"DDDD")</f>
        <v>Wednesday</v>
      </c>
      <c r="L980" s="23" t="s">
        <v>14</v>
      </c>
      <c r="M980" s="23">
        <f>ROUND('Call Data'!$I980,0)</f>
        <v>5</v>
      </c>
    </row>
    <row r="981" spans="1:13" ht="14.25" customHeight="1" x14ac:dyDescent="0.35">
      <c r="A981" s="23" t="s">
        <v>1015</v>
      </c>
      <c r="B981" s="23" t="s">
        <v>29</v>
      </c>
      <c r="C981" s="23">
        <v>76</v>
      </c>
      <c r="D981" s="24" t="str" cm="1">
        <f t="array" ref="D981">_xlfn.IFS(CallData[[#This Row],[Duration]]&lt;=15,"Very short",CallData[[#This Row],[Duration]]&lt;=30,"Short",CallData[[#This Row],[Duration]]&lt;=60,"Medium",CallData[[#This Row],[Duration]]&gt;60,"Long")</f>
        <v>Long</v>
      </c>
      <c r="E981" s="24" t="s">
        <v>19</v>
      </c>
      <c r="F981" s="25">
        <v>45281</v>
      </c>
      <c r="G981" s="26">
        <v>82</v>
      </c>
      <c r="H981" s="26" t="str" cm="1">
        <f t="array" ref="H981">_xlfn.IFS(CallData[[#This Row],[Purchase Amount]]&lt;=50,"Low",CallData[[#This Row],[Purchase Amount]]&lt;=100,"Medium",CallData[[#This Row],[Purchase Amount]]&lt;=150,"High",CallData[[#This Row],[Purchase Amount]]&gt;150,"Very High")</f>
        <v>Medium</v>
      </c>
      <c r="I981" s="23">
        <v>2.1</v>
      </c>
      <c r="J981" s="23">
        <f>IF(MONTH('Call Data'!$F981)&lt;=6, YEAR('Call Data'!$F981), YEAR('Call Data'!$F981)+1)</f>
        <v>2024</v>
      </c>
      <c r="K981" s="23" t="str">
        <f>TEXT('Call Data'!$F981,"DDDD")</f>
        <v>Thursday</v>
      </c>
      <c r="L981" s="23" t="s">
        <v>14</v>
      </c>
      <c r="M981" s="23">
        <f>ROUND('Call Data'!$I981,0)</f>
        <v>2</v>
      </c>
    </row>
    <row r="982" spans="1:13" ht="14.25" customHeight="1" x14ac:dyDescent="0.35">
      <c r="A982" s="23" t="s">
        <v>1016</v>
      </c>
      <c r="B982" s="23" t="s">
        <v>88</v>
      </c>
      <c r="C982" s="23">
        <v>89</v>
      </c>
      <c r="D982" s="24" t="str" cm="1">
        <f t="array" ref="D982">_xlfn.IFS(CallData[[#This Row],[Duration]]&lt;=15,"Very short",CallData[[#This Row],[Duration]]&lt;=30,"Short",CallData[[#This Row],[Duration]]&lt;=60,"Medium",CallData[[#This Row],[Duration]]&gt;60,"Long")</f>
        <v>Long</v>
      </c>
      <c r="E982" s="24" t="s">
        <v>31</v>
      </c>
      <c r="F982" s="25">
        <v>45284</v>
      </c>
      <c r="G982" s="26">
        <v>88</v>
      </c>
      <c r="H982" s="26" t="str" cm="1">
        <f t="array" ref="H982">_xlfn.IFS(CallData[[#This Row],[Purchase Amount]]&lt;=50,"Low",CallData[[#This Row],[Purchase Amount]]&lt;=100,"Medium",CallData[[#This Row],[Purchase Amount]]&lt;=150,"High",CallData[[#This Row],[Purchase Amount]]&gt;150,"Very High")</f>
        <v>Medium</v>
      </c>
      <c r="I982" s="23">
        <v>2.8</v>
      </c>
      <c r="J982" s="23">
        <f>IF(MONTH('Call Data'!$F982)&lt;=6, YEAR('Call Data'!$F982), YEAR('Call Data'!$F982)+1)</f>
        <v>2024</v>
      </c>
      <c r="K982" s="23" t="str">
        <f>TEXT('Call Data'!$F982,"DDDD")</f>
        <v>Sunday</v>
      </c>
      <c r="L982" s="23" t="s">
        <v>14</v>
      </c>
      <c r="M982" s="23">
        <f>ROUND('Call Data'!$I982,0)</f>
        <v>3</v>
      </c>
    </row>
    <row r="983" spans="1:13" ht="14.25" customHeight="1" x14ac:dyDescent="0.35">
      <c r="A983" s="23" t="s">
        <v>1017</v>
      </c>
      <c r="B983" s="23" t="s">
        <v>21</v>
      </c>
      <c r="C983" s="23">
        <v>91</v>
      </c>
      <c r="D983" s="24" t="str" cm="1">
        <f t="array" ref="D983">_xlfn.IFS(CallData[[#This Row],[Duration]]&lt;=15,"Very short",CallData[[#This Row],[Duration]]&lt;=30,"Short",CallData[[#This Row],[Duration]]&lt;=60,"Medium",CallData[[#This Row],[Duration]]&gt;60,"Long")</f>
        <v>Long</v>
      </c>
      <c r="E983" s="24" t="s">
        <v>35</v>
      </c>
      <c r="F983" s="25">
        <v>45284</v>
      </c>
      <c r="G983" s="26">
        <v>42</v>
      </c>
      <c r="H983" s="26" t="str" cm="1">
        <f t="array" ref="H983">_xlfn.IFS(CallData[[#This Row],[Purchase Amount]]&lt;=50,"Low",CallData[[#This Row],[Purchase Amount]]&lt;=100,"Medium",CallData[[#This Row],[Purchase Amount]]&lt;=150,"High",CallData[[#This Row],[Purchase Amount]]&gt;150,"Very High")</f>
        <v>Low</v>
      </c>
      <c r="I983" s="23">
        <v>4.0999999999999996</v>
      </c>
      <c r="J983" s="23">
        <f>IF(MONTH('Call Data'!$F983)&lt;=6, YEAR('Call Data'!$F983), YEAR('Call Data'!$F983)+1)</f>
        <v>2024</v>
      </c>
      <c r="K983" s="23" t="str">
        <f>TEXT('Call Data'!$F983,"DDDD")</f>
        <v>Sunday</v>
      </c>
      <c r="L983" s="23" t="s">
        <v>14</v>
      </c>
      <c r="M983" s="23">
        <f>ROUND('Call Data'!$I983,0)</f>
        <v>4</v>
      </c>
    </row>
    <row r="984" spans="1:13" ht="14.25" customHeight="1" x14ac:dyDescent="0.35">
      <c r="A984" s="23" t="s">
        <v>1018</v>
      </c>
      <c r="B984" s="23" t="s">
        <v>50</v>
      </c>
      <c r="C984" s="23">
        <v>7</v>
      </c>
      <c r="D984" s="24" t="str" cm="1">
        <f t="array" ref="D984">_xlfn.IFS(CallData[[#This Row],[Duration]]&lt;=15,"Very short",CallData[[#This Row],[Duration]]&lt;=30,"Short",CallData[[#This Row],[Duration]]&lt;=60,"Medium",CallData[[#This Row],[Duration]]&gt;60,"Long")</f>
        <v>Very short</v>
      </c>
      <c r="E984" s="24" t="s">
        <v>13</v>
      </c>
      <c r="F984" s="25">
        <v>45285</v>
      </c>
      <c r="G984" s="26">
        <v>64</v>
      </c>
      <c r="H984" s="26" t="str" cm="1">
        <f t="array" ref="H984">_xlfn.IFS(CallData[[#This Row],[Purchase Amount]]&lt;=50,"Low",CallData[[#This Row],[Purchase Amount]]&lt;=100,"Medium",CallData[[#This Row],[Purchase Amount]]&lt;=150,"High",CallData[[#This Row],[Purchase Amount]]&gt;150,"Very High")</f>
        <v>Medium</v>
      </c>
      <c r="I984" s="23">
        <v>3.3</v>
      </c>
      <c r="J984" s="23">
        <f>IF(MONTH('Call Data'!$F984)&lt;=6, YEAR('Call Data'!$F984), YEAR('Call Data'!$F984)+1)</f>
        <v>2024</v>
      </c>
      <c r="K984" s="23" t="str">
        <f>TEXT('Call Data'!$F984,"DDDD")</f>
        <v>Monday</v>
      </c>
      <c r="L984" s="23" t="s">
        <v>176</v>
      </c>
      <c r="M984" s="23">
        <f>ROUND('Call Data'!$I984,0)</f>
        <v>3</v>
      </c>
    </row>
    <row r="985" spans="1:13" ht="14.25" customHeight="1" x14ac:dyDescent="0.35">
      <c r="A985" s="23" t="s">
        <v>1019</v>
      </c>
      <c r="B985" s="23" t="s">
        <v>38</v>
      </c>
      <c r="C985" s="23">
        <v>140</v>
      </c>
      <c r="D985" s="24" t="str" cm="1">
        <f t="array" ref="D985">_xlfn.IFS(CallData[[#This Row],[Duration]]&lt;=15,"Very short",CallData[[#This Row],[Duration]]&lt;=30,"Short",CallData[[#This Row],[Duration]]&lt;=60,"Medium",CallData[[#This Row],[Duration]]&gt;60,"Long")</f>
        <v>Long</v>
      </c>
      <c r="E985" s="24" t="s">
        <v>13</v>
      </c>
      <c r="F985" s="25">
        <v>45285</v>
      </c>
      <c r="G985" s="26">
        <v>105</v>
      </c>
      <c r="H985" s="26" t="str" cm="1">
        <f t="array" ref="H985">_xlfn.IFS(CallData[[#This Row],[Purchase Amount]]&lt;=50,"Low",CallData[[#This Row],[Purchase Amount]]&lt;=100,"Medium",CallData[[#This Row],[Purchase Amount]]&lt;=150,"High",CallData[[#This Row],[Purchase Amount]]&gt;150,"Very High")</f>
        <v>High</v>
      </c>
      <c r="I985" s="23">
        <v>1.7</v>
      </c>
      <c r="J985" s="23">
        <f>IF(MONTH('Call Data'!$F985)&lt;=6, YEAR('Call Data'!$F985), YEAR('Call Data'!$F985)+1)</f>
        <v>2024</v>
      </c>
      <c r="K985" s="23" t="str">
        <f>TEXT('Call Data'!$F985,"DDDD")</f>
        <v>Monday</v>
      </c>
      <c r="L985" s="23" t="s">
        <v>25</v>
      </c>
      <c r="M985" s="23">
        <f>ROUND('Call Data'!$I985,0)</f>
        <v>2</v>
      </c>
    </row>
    <row r="986" spans="1:13" ht="14.25" customHeight="1" x14ac:dyDescent="0.35">
      <c r="A986" s="23" t="s">
        <v>1020</v>
      </c>
      <c r="B986" s="23" t="s">
        <v>16</v>
      </c>
      <c r="C986" s="23">
        <v>58</v>
      </c>
      <c r="D986" s="24" t="str" cm="1">
        <f t="array" ref="D986">_xlfn.IFS(CallData[[#This Row],[Duration]]&lt;=15,"Very short",CallData[[#This Row],[Duration]]&lt;=30,"Short",CallData[[#This Row],[Duration]]&lt;=60,"Medium",CallData[[#This Row],[Duration]]&gt;60,"Long")</f>
        <v>Medium</v>
      </c>
      <c r="E986" s="24" t="s">
        <v>24</v>
      </c>
      <c r="F986" s="25">
        <v>45285</v>
      </c>
      <c r="G986" s="26">
        <v>25</v>
      </c>
      <c r="H986" s="26" t="str" cm="1">
        <f t="array" ref="H986">_xlfn.IFS(CallData[[#This Row],[Purchase Amount]]&lt;=50,"Low",CallData[[#This Row],[Purchase Amount]]&lt;=100,"Medium",CallData[[#This Row],[Purchase Amount]]&lt;=150,"High",CallData[[#This Row],[Purchase Amount]]&gt;150,"Very High")</f>
        <v>Low</v>
      </c>
      <c r="I986" s="23">
        <v>3.6</v>
      </c>
      <c r="J986" s="23">
        <f>IF(MONTH('Call Data'!$F986)&lt;=6, YEAR('Call Data'!$F986), YEAR('Call Data'!$F986)+1)</f>
        <v>2024</v>
      </c>
      <c r="K986" s="23" t="str">
        <f>TEXT('Call Data'!$F986,"DDDD")</f>
        <v>Monday</v>
      </c>
      <c r="L986" s="23" t="s">
        <v>27</v>
      </c>
      <c r="M986" s="23">
        <f>ROUND('Call Data'!$I986,0)</f>
        <v>4</v>
      </c>
    </row>
    <row r="987" spans="1:13" ht="14.25" customHeight="1" x14ac:dyDescent="0.35">
      <c r="A987" s="23" t="s">
        <v>1021</v>
      </c>
      <c r="B987" s="23" t="s">
        <v>12</v>
      </c>
      <c r="C987" s="23">
        <v>90</v>
      </c>
      <c r="D987" s="24" t="str" cm="1">
        <f t="array" ref="D987">_xlfn.IFS(CallData[[#This Row],[Duration]]&lt;=15,"Very short",CallData[[#This Row],[Duration]]&lt;=30,"Short",CallData[[#This Row],[Duration]]&lt;=60,"Medium",CallData[[#This Row],[Duration]]&gt;60,"Long")</f>
        <v>Long</v>
      </c>
      <c r="E987" s="24" t="s">
        <v>19</v>
      </c>
      <c r="F987" s="25">
        <v>45286</v>
      </c>
      <c r="G987" s="26">
        <v>176</v>
      </c>
      <c r="H987" s="26" t="str" cm="1">
        <f t="array" ref="H987">_xlfn.IFS(CallData[[#This Row],[Purchase Amount]]&lt;=50,"Low",CallData[[#This Row],[Purchase Amount]]&lt;=100,"Medium",CallData[[#This Row],[Purchase Amount]]&lt;=150,"High",CallData[[#This Row],[Purchase Amount]]&gt;150,"Very High")</f>
        <v>Very High</v>
      </c>
      <c r="I987" s="23">
        <v>3.6</v>
      </c>
      <c r="J987" s="23">
        <f>IF(MONTH('Call Data'!$F987)&lt;=6, YEAR('Call Data'!$F987), YEAR('Call Data'!$F987)+1)</f>
        <v>2024</v>
      </c>
      <c r="K987" s="23" t="str">
        <f>TEXT('Call Data'!$F987,"DDDD")</f>
        <v>Tuesday</v>
      </c>
      <c r="L987" s="23" t="s">
        <v>14</v>
      </c>
      <c r="M987" s="23">
        <f>ROUND('Call Data'!$I987,0)</f>
        <v>4</v>
      </c>
    </row>
    <row r="988" spans="1:13" ht="14.25" customHeight="1" x14ac:dyDescent="0.35">
      <c r="A988" s="23" t="s">
        <v>1022</v>
      </c>
      <c r="B988" s="23" t="s">
        <v>12</v>
      </c>
      <c r="C988" s="23">
        <v>106</v>
      </c>
      <c r="D988" s="24" t="str" cm="1">
        <f t="array" ref="D988">_xlfn.IFS(CallData[[#This Row],[Duration]]&lt;=15,"Very short",CallData[[#This Row],[Duration]]&lt;=30,"Short",CallData[[#This Row],[Duration]]&lt;=60,"Medium",CallData[[#This Row],[Duration]]&gt;60,"Long")</f>
        <v>Long</v>
      </c>
      <c r="E988" s="24" t="s">
        <v>31</v>
      </c>
      <c r="F988" s="25">
        <v>45287</v>
      </c>
      <c r="G988" s="26">
        <v>46</v>
      </c>
      <c r="H988" s="26" t="str" cm="1">
        <f t="array" ref="H988">_xlfn.IFS(CallData[[#This Row],[Purchase Amount]]&lt;=50,"Low",CallData[[#This Row],[Purchase Amount]]&lt;=100,"Medium",CallData[[#This Row],[Purchase Amount]]&lt;=150,"High",CallData[[#This Row],[Purchase Amount]]&gt;150,"Very High")</f>
        <v>Low</v>
      </c>
      <c r="I988" s="23">
        <v>4.5999999999999996</v>
      </c>
      <c r="J988" s="23">
        <f>IF(MONTH('Call Data'!$F988)&lt;=6, YEAR('Call Data'!$F988), YEAR('Call Data'!$F988)+1)</f>
        <v>2024</v>
      </c>
      <c r="K988" s="23" t="str">
        <f>TEXT('Call Data'!$F988,"DDDD")</f>
        <v>Wednesday</v>
      </c>
      <c r="L988" s="23" t="s">
        <v>14</v>
      </c>
      <c r="M988" s="23">
        <f>ROUND('Call Data'!$I988,0)</f>
        <v>5</v>
      </c>
    </row>
    <row r="989" spans="1:13" ht="14.25" customHeight="1" x14ac:dyDescent="0.35">
      <c r="A989" s="23" t="s">
        <v>1023</v>
      </c>
      <c r="B989" s="23" t="s">
        <v>46</v>
      </c>
      <c r="C989" s="23">
        <v>72</v>
      </c>
      <c r="D989" s="24" t="str" cm="1">
        <f t="array" ref="D989">_xlfn.IFS(CallData[[#This Row],[Duration]]&lt;=15,"Very short",CallData[[#This Row],[Duration]]&lt;=30,"Short",CallData[[#This Row],[Duration]]&lt;=60,"Medium",CallData[[#This Row],[Duration]]&gt;60,"Long")</f>
        <v>Long</v>
      </c>
      <c r="E989" s="24" t="s">
        <v>13</v>
      </c>
      <c r="F989" s="25">
        <v>45287</v>
      </c>
      <c r="G989" s="26">
        <v>164</v>
      </c>
      <c r="H989" s="26" t="str" cm="1">
        <f t="array" ref="H989">_xlfn.IFS(CallData[[#This Row],[Purchase Amount]]&lt;=50,"Low",CallData[[#This Row],[Purchase Amount]]&lt;=100,"Medium",CallData[[#This Row],[Purchase Amount]]&lt;=150,"High",CallData[[#This Row],[Purchase Amount]]&gt;150,"Very High")</f>
        <v>Very High</v>
      </c>
      <c r="I989" s="23">
        <v>4.8</v>
      </c>
      <c r="J989" s="23">
        <f>IF(MONTH('Call Data'!$F989)&lt;=6, YEAR('Call Data'!$F989), YEAR('Call Data'!$F989)+1)</f>
        <v>2024</v>
      </c>
      <c r="K989" s="23" t="str">
        <f>TEXT('Call Data'!$F989,"DDDD")</f>
        <v>Wednesday</v>
      </c>
      <c r="L989" s="23" t="s">
        <v>14</v>
      </c>
      <c r="M989" s="23">
        <f>ROUND('Call Data'!$I989,0)</f>
        <v>5</v>
      </c>
    </row>
    <row r="990" spans="1:13" ht="14.25" customHeight="1" x14ac:dyDescent="0.35">
      <c r="A990" s="23" t="s">
        <v>1024</v>
      </c>
      <c r="B990" s="23" t="s">
        <v>50</v>
      </c>
      <c r="C990" s="23">
        <v>124</v>
      </c>
      <c r="D990" s="24" t="str" cm="1">
        <f t="array" ref="D990">_xlfn.IFS(CallData[[#This Row],[Duration]]&lt;=15,"Very short",CallData[[#This Row],[Duration]]&lt;=30,"Short",CallData[[#This Row],[Duration]]&lt;=60,"Medium",CallData[[#This Row],[Duration]]&gt;60,"Long")</f>
        <v>Long</v>
      </c>
      <c r="E990" s="24" t="s">
        <v>13</v>
      </c>
      <c r="F990" s="25">
        <v>45288</v>
      </c>
      <c r="G990" s="26">
        <v>64</v>
      </c>
      <c r="H990" s="26" t="str" cm="1">
        <f t="array" ref="H990">_xlfn.IFS(CallData[[#This Row],[Purchase Amount]]&lt;=50,"Low",CallData[[#This Row],[Purchase Amount]]&lt;=100,"Medium",CallData[[#This Row],[Purchase Amount]]&lt;=150,"High",CallData[[#This Row],[Purchase Amount]]&gt;150,"Very High")</f>
        <v>Medium</v>
      </c>
      <c r="I990" s="23">
        <v>4.5</v>
      </c>
      <c r="J990" s="23">
        <f>IF(MONTH('Call Data'!$F990)&lt;=6, YEAR('Call Data'!$F990), YEAR('Call Data'!$F990)+1)</f>
        <v>2024</v>
      </c>
      <c r="K990" s="23" t="str">
        <f>TEXT('Call Data'!$F990,"DDDD")</f>
        <v>Thursday</v>
      </c>
      <c r="L990" s="23" t="s">
        <v>25</v>
      </c>
      <c r="M990" s="23">
        <f>ROUND('Call Data'!$I990,0)</f>
        <v>5</v>
      </c>
    </row>
    <row r="991" spans="1:13" ht="14.25" customHeight="1" x14ac:dyDescent="0.35">
      <c r="A991" s="23" t="s">
        <v>1025</v>
      </c>
      <c r="B991" s="23" t="s">
        <v>40</v>
      </c>
      <c r="C991" s="23">
        <v>86</v>
      </c>
      <c r="D991" s="24" t="str" cm="1">
        <f t="array" ref="D991">_xlfn.IFS(CallData[[#This Row],[Duration]]&lt;=15,"Very short",CallData[[#This Row],[Duration]]&lt;=30,"Short",CallData[[#This Row],[Duration]]&lt;=60,"Medium",CallData[[#This Row],[Duration]]&gt;60,"Long")</f>
        <v>Long</v>
      </c>
      <c r="E991" s="24" t="s">
        <v>35</v>
      </c>
      <c r="F991" s="25">
        <v>45288</v>
      </c>
      <c r="G991" s="26">
        <v>205</v>
      </c>
      <c r="H991" s="26" t="str" cm="1">
        <f t="array" ref="H991">_xlfn.IFS(CallData[[#This Row],[Purchase Amount]]&lt;=50,"Low",CallData[[#This Row],[Purchase Amount]]&lt;=100,"Medium",CallData[[#This Row],[Purchase Amount]]&lt;=150,"High",CallData[[#This Row],[Purchase Amount]]&gt;150,"Very High")</f>
        <v>Very High</v>
      </c>
      <c r="I991" s="23">
        <v>4.5</v>
      </c>
      <c r="J991" s="23">
        <f>IF(MONTH('Call Data'!$F991)&lt;=6, YEAR('Call Data'!$F991), YEAR('Call Data'!$F991)+1)</f>
        <v>2024</v>
      </c>
      <c r="K991" s="23" t="str">
        <f>TEXT('Call Data'!$F991,"DDDD")</f>
        <v>Thursday</v>
      </c>
      <c r="L991" s="23" t="s">
        <v>14</v>
      </c>
      <c r="M991" s="23">
        <f>ROUND('Call Data'!$I991,0)</f>
        <v>5</v>
      </c>
    </row>
    <row r="992" spans="1:13" ht="14.25" customHeight="1" x14ac:dyDescent="0.35">
      <c r="A992" s="23" t="s">
        <v>1026</v>
      </c>
      <c r="B992" s="23" t="s">
        <v>18</v>
      </c>
      <c r="C992" s="23">
        <v>164</v>
      </c>
      <c r="D992" s="24" t="str" cm="1">
        <f t="array" ref="D992">_xlfn.IFS(CallData[[#This Row],[Duration]]&lt;=15,"Very short",CallData[[#This Row],[Duration]]&lt;=30,"Short",CallData[[#This Row],[Duration]]&lt;=60,"Medium",CallData[[#This Row],[Duration]]&gt;60,"Long")</f>
        <v>Long</v>
      </c>
      <c r="E992" s="24" t="s">
        <v>35</v>
      </c>
      <c r="F992" s="25">
        <v>45289</v>
      </c>
      <c r="G992" s="26">
        <v>100</v>
      </c>
      <c r="H992" s="26" t="str" cm="1">
        <f t="array" ref="H992">_xlfn.IFS(CallData[[#This Row],[Purchase Amount]]&lt;=50,"Low",CallData[[#This Row],[Purchase Amount]]&lt;=100,"Medium",CallData[[#This Row],[Purchase Amount]]&lt;=150,"High",CallData[[#This Row],[Purchase Amount]]&gt;150,"Very High")</f>
        <v>Medium</v>
      </c>
      <c r="I992" s="23">
        <v>4.5999999999999996</v>
      </c>
      <c r="J992" s="23">
        <f>IF(MONTH('Call Data'!$F992)&lt;=6, YEAR('Call Data'!$F992), YEAR('Call Data'!$F992)+1)</f>
        <v>2024</v>
      </c>
      <c r="K992" s="23" t="str">
        <f>TEXT('Call Data'!$F992,"DDDD")</f>
        <v>Friday</v>
      </c>
      <c r="L992" s="23" t="s">
        <v>25</v>
      </c>
      <c r="M992" s="23">
        <f>ROUND('Call Data'!$I992,0)</f>
        <v>5</v>
      </c>
    </row>
    <row r="993" spans="1:13" ht="14.25" customHeight="1" x14ac:dyDescent="0.35">
      <c r="A993" s="23" t="s">
        <v>1027</v>
      </c>
      <c r="B993" s="23" t="s">
        <v>23</v>
      </c>
      <c r="C993" s="23">
        <v>40</v>
      </c>
      <c r="D993" s="24" t="str" cm="1">
        <f t="array" ref="D993">_xlfn.IFS(CallData[[#This Row],[Duration]]&lt;=15,"Very short",CallData[[#This Row],[Duration]]&lt;=30,"Short",CallData[[#This Row],[Duration]]&lt;=60,"Medium",CallData[[#This Row],[Duration]]&gt;60,"Long")</f>
        <v>Medium</v>
      </c>
      <c r="E993" s="24" t="s">
        <v>19</v>
      </c>
      <c r="F993" s="25">
        <v>45289</v>
      </c>
      <c r="G993" s="26">
        <v>111</v>
      </c>
      <c r="H993" s="26" t="str" cm="1">
        <f t="array" ref="H993">_xlfn.IFS(CallData[[#This Row],[Purchase Amount]]&lt;=50,"Low",CallData[[#This Row],[Purchase Amount]]&lt;=100,"Medium",CallData[[#This Row],[Purchase Amount]]&lt;=150,"High",CallData[[#This Row],[Purchase Amount]]&gt;150,"Very High")</f>
        <v>High</v>
      </c>
      <c r="I993" s="23">
        <v>4.5999999999999996</v>
      </c>
      <c r="J993" s="23">
        <f>IF(MONTH('Call Data'!$F993)&lt;=6, YEAR('Call Data'!$F993), YEAR('Call Data'!$F993)+1)</f>
        <v>2024</v>
      </c>
      <c r="K993" s="23" t="str">
        <f>TEXT('Call Data'!$F993,"DDDD")</f>
        <v>Friday</v>
      </c>
      <c r="L993" s="23" t="s">
        <v>27</v>
      </c>
      <c r="M993" s="23">
        <f>ROUND('Call Data'!$I993,0)</f>
        <v>5</v>
      </c>
    </row>
    <row r="994" spans="1:13" ht="14.25" customHeight="1" x14ac:dyDescent="0.35">
      <c r="A994" s="23" t="s">
        <v>1028</v>
      </c>
      <c r="B994" s="23" t="s">
        <v>21</v>
      </c>
      <c r="C994" s="23">
        <v>76</v>
      </c>
      <c r="D994" s="24" t="str" cm="1">
        <f t="array" ref="D994">_xlfn.IFS(CallData[[#This Row],[Duration]]&lt;=15,"Very short",CallData[[#This Row],[Duration]]&lt;=30,"Short",CallData[[#This Row],[Duration]]&lt;=60,"Medium",CallData[[#This Row],[Duration]]&gt;60,"Long")</f>
        <v>Long</v>
      </c>
      <c r="E994" s="24" t="s">
        <v>24</v>
      </c>
      <c r="F994" s="25">
        <v>45289</v>
      </c>
      <c r="G994" s="26">
        <v>80</v>
      </c>
      <c r="H994" s="26" t="str" cm="1">
        <f t="array" ref="H994">_xlfn.IFS(CallData[[#This Row],[Purchase Amount]]&lt;=50,"Low",CallData[[#This Row],[Purchase Amount]]&lt;=100,"Medium",CallData[[#This Row],[Purchase Amount]]&lt;=150,"High",CallData[[#This Row],[Purchase Amount]]&gt;150,"Very High")</f>
        <v>Medium</v>
      </c>
      <c r="I994" s="23">
        <v>3.5</v>
      </c>
      <c r="J994" s="23">
        <f>IF(MONTH('Call Data'!$F994)&lt;=6, YEAR('Call Data'!$F994), YEAR('Call Data'!$F994)+1)</f>
        <v>2024</v>
      </c>
      <c r="K994" s="23" t="str">
        <f>TEXT('Call Data'!$F994,"DDDD")</f>
        <v>Friday</v>
      </c>
      <c r="L994" s="23" t="s">
        <v>14</v>
      </c>
      <c r="M994" s="23">
        <f>ROUND('Call Data'!$I994,0)</f>
        <v>4</v>
      </c>
    </row>
    <row r="995" spans="1:13" ht="14.25" customHeight="1" x14ac:dyDescent="0.35">
      <c r="A995" s="23" t="s">
        <v>1029</v>
      </c>
      <c r="B995" s="23" t="s">
        <v>50</v>
      </c>
      <c r="C995" s="23">
        <v>95</v>
      </c>
      <c r="D995" s="24" t="str" cm="1">
        <f t="array" ref="D995">_xlfn.IFS(CallData[[#This Row],[Duration]]&lt;=15,"Very short",CallData[[#This Row],[Duration]]&lt;=30,"Short",CallData[[#This Row],[Duration]]&lt;=60,"Medium",CallData[[#This Row],[Duration]]&gt;60,"Long")</f>
        <v>Long</v>
      </c>
      <c r="E995" s="24" t="s">
        <v>31</v>
      </c>
      <c r="F995" s="25">
        <v>45289</v>
      </c>
      <c r="G995" s="26">
        <v>50</v>
      </c>
      <c r="H995" s="26" t="str" cm="1">
        <f t="array" ref="H995">_xlfn.IFS(CallData[[#This Row],[Purchase Amount]]&lt;=50,"Low",CallData[[#This Row],[Purchase Amount]]&lt;=100,"Medium",CallData[[#This Row],[Purchase Amount]]&lt;=150,"High",CallData[[#This Row],[Purchase Amount]]&gt;150,"Very High")</f>
        <v>Low</v>
      </c>
      <c r="I995" s="23">
        <v>2.9</v>
      </c>
      <c r="J995" s="23">
        <f>IF(MONTH('Call Data'!$F995)&lt;=6, YEAR('Call Data'!$F995), YEAR('Call Data'!$F995)+1)</f>
        <v>2024</v>
      </c>
      <c r="K995" s="23" t="str">
        <f>TEXT('Call Data'!$F995,"DDDD")</f>
        <v>Friday</v>
      </c>
      <c r="L995" s="23" t="s">
        <v>14</v>
      </c>
      <c r="M995" s="23">
        <f>ROUND('Call Data'!$I995,0)</f>
        <v>3</v>
      </c>
    </row>
    <row r="996" spans="1:13" ht="14.25" customHeight="1" x14ac:dyDescent="0.35">
      <c r="A996" s="23" t="s">
        <v>1030</v>
      </c>
      <c r="B996" s="23" t="s">
        <v>21</v>
      </c>
      <c r="C996" s="23">
        <v>113</v>
      </c>
      <c r="D996" s="24" t="str" cm="1">
        <f t="array" ref="D996">_xlfn.IFS(CallData[[#This Row],[Duration]]&lt;=15,"Very short",CallData[[#This Row],[Duration]]&lt;=30,"Short",CallData[[#This Row],[Duration]]&lt;=60,"Medium",CallData[[#This Row],[Duration]]&gt;60,"Long")</f>
        <v>Long</v>
      </c>
      <c r="E996" s="24" t="s">
        <v>13</v>
      </c>
      <c r="F996" s="25">
        <v>45290</v>
      </c>
      <c r="G996" s="26">
        <v>165</v>
      </c>
      <c r="H996" s="26" t="str" cm="1">
        <f t="array" ref="H996">_xlfn.IFS(CallData[[#This Row],[Purchase Amount]]&lt;=50,"Low",CallData[[#This Row],[Purchase Amount]]&lt;=100,"Medium",CallData[[#This Row],[Purchase Amount]]&lt;=150,"High",CallData[[#This Row],[Purchase Amount]]&gt;150,"Very High")</f>
        <v>Very High</v>
      </c>
      <c r="I996" s="23">
        <v>4.7</v>
      </c>
      <c r="J996" s="23">
        <f>IF(MONTH('Call Data'!$F996)&lt;=6, YEAR('Call Data'!$F996), YEAR('Call Data'!$F996)+1)</f>
        <v>2024</v>
      </c>
      <c r="K996" s="23" t="str">
        <f>TEXT('Call Data'!$F996,"DDDD")</f>
        <v>Saturday</v>
      </c>
      <c r="L996" s="23" t="s">
        <v>14</v>
      </c>
      <c r="M996" s="23">
        <f>ROUND('Call Data'!$I996,0)</f>
        <v>5</v>
      </c>
    </row>
    <row r="997" spans="1:13" ht="14.25" customHeight="1" x14ac:dyDescent="0.35">
      <c r="A997" s="23" t="s">
        <v>1031</v>
      </c>
      <c r="B997" s="23" t="s">
        <v>40</v>
      </c>
      <c r="C997" s="23">
        <v>81</v>
      </c>
      <c r="D997" s="24" t="str" cm="1">
        <f t="array" ref="D997">_xlfn.IFS(CallData[[#This Row],[Duration]]&lt;=15,"Very short",CallData[[#This Row],[Duration]]&lt;=30,"Short",CallData[[#This Row],[Duration]]&lt;=60,"Medium",CallData[[#This Row],[Duration]]&gt;60,"Long")</f>
        <v>Long</v>
      </c>
      <c r="E997" s="24" t="s">
        <v>13</v>
      </c>
      <c r="F997" s="25">
        <v>45290</v>
      </c>
      <c r="G997" s="26">
        <v>28</v>
      </c>
      <c r="H997" s="26" t="str" cm="1">
        <f t="array" ref="H997">_xlfn.IFS(CallData[[#This Row],[Purchase Amount]]&lt;=50,"Low",CallData[[#This Row],[Purchase Amount]]&lt;=100,"Medium",CallData[[#This Row],[Purchase Amount]]&lt;=150,"High",CallData[[#This Row],[Purchase Amount]]&gt;150,"Very High")</f>
        <v>Low</v>
      </c>
      <c r="I997" s="23">
        <v>3.9</v>
      </c>
      <c r="J997" s="23">
        <f>IF(MONTH('Call Data'!$F997)&lt;=6, YEAR('Call Data'!$F997), YEAR('Call Data'!$F997)+1)</f>
        <v>2024</v>
      </c>
      <c r="K997" s="23" t="str">
        <f>TEXT('Call Data'!$F997,"DDDD")</f>
        <v>Saturday</v>
      </c>
      <c r="L997" s="23" t="s">
        <v>14</v>
      </c>
      <c r="M997" s="23">
        <f>ROUND('Call Data'!$I997,0)</f>
        <v>4</v>
      </c>
    </row>
    <row r="998" spans="1:13" ht="14.25" customHeight="1" x14ac:dyDescent="0.35">
      <c r="A998" s="23" t="s">
        <v>1032</v>
      </c>
      <c r="B998" s="23" t="s">
        <v>29</v>
      </c>
      <c r="C998" s="23">
        <v>127</v>
      </c>
      <c r="D998" s="24" t="str" cm="1">
        <f t="array" ref="D998">_xlfn.IFS(CallData[[#This Row],[Duration]]&lt;=15,"Very short",CallData[[#This Row],[Duration]]&lt;=30,"Short",CallData[[#This Row],[Duration]]&lt;=60,"Medium",CallData[[#This Row],[Duration]]&gt;60,"Long")</f>
        <v>Long</v>
      </c>
      <c r="E998" s="24" t="s">
        <v>31</v>
      </c>
      <c r="F998" s="25">
        <v>45290</v>
      </c>
      <c r="G998" s="26">
        <v>215</v>
      </c>
      <c r="H998" s="26" t="str" cm="1">
        <f t="array" ref="H998">_xlfn.IFS(CallData[[#This Row],[Purchase Amount]]&lt;=50,"Low",CallData[[#This Row],[Purchase Amount]]&lt;=100,"Medium",CallData[[#This Row],[Purchase Amount]]&lt;=150,"High",CallData[[#This Row],[Purchase Amount]]&gt;150,"Very High")</f>
        <v>Very High</v>
      </c>
      <c r="I998" s="23">
        <v>3.8</v>
      </c>
      <c r="J998" s="23">
        <f>IF(MONTH('Call Data'!$F998)&lt;=6, YEAR('Call Data'!$F998), YEAR('Call Data'!$F998)+1)</f>
        <v>2024</v>
      </c>
      <c r="K998" s="23" t="str">
        <f>TEXT('Call Data'!$F998,"DDDD")</f>
        <v>Saturday</v>
      </c>
      <c r="L998" s="23" t="s">
        <v>25</v>
      </c>
      <c r="M998" s="23">
        <f>ROUND('Call Data'!$I998,0)</f>
        <v>4</v>
      </c>
    </row>
    <row r="999" spans="1:13" ht="14.25" customHeight="1" x14ac:dyDescent="0.35">
      <c r="A999" s="23" t="s">
        <v>1033</v>
      </c>
      <c r="B999" s="23" t="s">
        <v>38</v>
      </c>
      <c r="C999" s="23">
        <v>146</v>
      </c>
      <c r="D999" s="24" t="str" cm="1">
        <f t="array" ref="D999">_xlfn.IFS(CallData[[#This Row],[Duration]]&lt;=15,"Very short",CallData[[#This Row],[Duration]]&lt;=30,"Short",CallData[[#This Row],[Duration]]&lt;=60,"Medium",CallData[[#This Row],[Duration]]&gt;60,"Long")</f>
        <v>Long</v>
      </c>
      <c r="E999" s="24" t="s">
        <v>13</v>
      </c>
      <c r="F999" s="25">
        <v>45291</v>
      </c>
      <c r="G999" s="26">
        <v>115</v>
      </c>
      <c r="H999" s="26" t="str" cm="1">
        <f t="array" ref="H999">_xlfn.IFS(CallData[[#This Row],[Purchase Amount]]&lt;=50,"Low",CallData[[#This Row],[Purchase Amount]]&lt;=100,"Medium",CallData[[#This Row],[Purchase Amount]]&lt;=150,"High",CallData[[#This Row],[Purchase Amount]]&gt;150,"Very High")</f>
        <v>High</v>
      </c>
      <c r="I999" s="23">
        <v>2.2999999999999998</v>
      </c>
      <c r="J999" s="23">
        <f>IF(MONTH('Call Data'!$F999)&lt;=6, YEAR('Call Data'!$F999), YEAR('Call Data'!$F999)+1)</f>
        <v>2024</v>
      </c>
      <c r="K999" s="23" t="str">
        <f>TEXT('Call Data'!$F999,"DDDD")</f>
        <v>Sunday</v>
      </c>
      <c r="L999" s="23" t="s">
        <v>25</v>
      </c>
      <c r="M999" s="23">
        <f>ROUND('Call Data'!$I999,0)</f>
        <v>2</v>
      </c>
    </row>
    <row r="1000" spans="1:13" ht="14.25" customHeight="1" x14ac:dyDescent="0.35">
      <c r="A1000" s="23" t="s">
        <v>1034</v>
      </c>
      <c r="B1000" s="23" t="s">
        <v>34</v>
      </c>
      <c r="C1000" s="23">
        <v>123</v>
      </c>
      <c r="D1000" s="24" t="str" cm="1">
        <f t="array" ref="D1000">_xlfn.IFS(CallData[[#This Row],[Duration]]&lt;=15,"Very short",CallData[[#This Row],[Duration]]&lt;=30,"Short",CallData[[#This Row],[Duration]]&lt;=60,"Medium",CallData[[#This Row],[Duration]]&gt;60,"Long")</f>
        <v>Long</v>
      </c>
      <c r="E1000" s="24" t="s">
        <v>13</v>
      </c>
      <c r="F1000" s="25">
        <v>45291</v>
      </c>
      <c r="G1000" s="26">
        <v>64</v>
      </c>
      <c r="H1000" s="26" t="str" cm="1">
        <f t="array" ref="H1000">_xlfn.IFS(CallData[[#This Row],[Purchase Amount]]&lt;=50,"Low",CallData[[#This Row],[Purchase Amount]]&lt;=100,"Medium",CallData[[#This Row],[Purchase Amount]]&lt;=150,"High",CallData[[#This Row],[Purchase Amount]]&gt;150,"Very High")</f>
        <v>Medium</v>
      </c>
      <c r="I1000" s="23">
        <v>3.7</v>
      </c>
      <c r="J1000" s="23">
        <f>IF(MONTH('Call Data'!$F1000)&lt;=6, YEAR('Call Data'!$F1000), YEAR('Call Data'!$F1000)+1)</f>
        <v>2024</v>
      </c>
      <c r="K1000" s="23" t="str">
        <f>TEXT('Call Data'!$F1000,"DDDD")</f>
        <v>Sunday</v>
      </c>
      <c r="L1000" s="23" t="s">
        <v>25</v>
      </c>
      <c r="M1000" s="23">
        <f>ROUND('Call Data'!$I1000,0)</f>
        <v>4</v>
      </c>
    </row>
    <row r="1001" spans="1:13" ht="14.25" customHeight="1" x14ac:dyDescent="0.35">
      <c r="A1001" s="23" t="s">
        <v>1035</v>
      </c>
      <c r="B1001" s="23" t="s">
        <v>46</v>
      </c>
      <c r="C1001" s="23">
        <v>114</v>
      </c>
      <c r="D1001" s="24" t="str" cm="1">
        <f t="array" ref="D1001">_xlfn.IFS(CallData[[#This Row],[Duration]]&lt;=15,"Very short",CallData[[#This Row],[Duration]]&lt;=30,"Short",CallData[[#This Row],[Duration]]&lt;=60,"Medium",CallData[[#This Row],[Duration]]&gt;60,"Long")</f>
        <v>Long</v>
      </c>
      <c r="E1001" s="24" t="s">
        <v>24</v>
      </c>
      <c r="F1001" s="25">
        <v>45291</v>
      </c>
      <c r="G1001" s="26">
        <v>40</v>
      </c>
      <c r="H1001" s="26" t="str" cm="1">
        <f t="array" ref="H1001">_xlfn.IFS(CallData[[#This Row],[Purchase Amount]]&lt;=50,"Low",CallData[[#This Row],[Purchase Amount]]&lt;=100,"Medium",CallData[[#This Row],[Purchase Amount]]&lt;=150,"High",CallData[[#This Row],[Purchase Amount]]&gt;150,"Very High")</f>
        <v>Low</v>
      </c>
      <c r="I1001" s="23">
        <v>3.9</v>
      </c>
      <c r="J1001" s="23">
        <f>IF(MONTH('Call Data'!$F1001)&lt;=6, YEAR('Call Data'!$F1001), YEAR('Call Data'!$F1001)+1)</f>
        <v>2024</v>
      </c>
      <c r="K1001" s="23" t="str">
        <f>TEXT('Call Data'!$F1001,"DDDD")</f>
        <v>Sunday</v>
      </c>
      <c r="L1001" s="23" t="s">
        <v>14</v>
      </c>
      <c r="M1001" s="23">
        <f>ROUND('Call Data'!$I1001,0)</f>
        <v>4</v>
      </c>
    </row>
  </sheetData>
  <phoneticPr fontId="13"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8DEA-0A0A-4DF0-A656-53AE269794CD}">
  <dimension ref="AF4:AN31"/>
  <sheetViews>
    <sheetView zoomScale="38" zoomScaleNormal="38" workbookViewId="0">
      <selection activeCell="AK46" sqref="AK46"/>
    </sheetView>
  </sheetViews>
  <sheetFormatPr defaultRowHeight="14.5" x14ac:dyDescent="0.35"/>
  <sheetData>
    <row r="4" spans="32:39" x14ac:dyDescent="0.35">
      <c r="AF4" s="46" t="s">
        <v>1057</v>
      </c>
      <c r="AG4" s="46"/>
      <c r="AH4" s="46"/>
      <c r="AI4" s="46"/>
      <c r="AJ4" s="46"/>
      <c r="AK4" s="46"/>
      <c r="AL4" s="46"/>
      <c r="AM4" s="46"/>
    </row>
    <row r="5" spans="32:39" ht="14.5" customHeight="1" x14ac:dyDescent="0.35">
      <c r="AF5" s="46"/>
      <c r="AG5" s="46"/>
      <c r="AH5" s="46"/>
      <c r="AI5" s="46"/>
      <c r="AJ5" s="46"/>
      <c r="AK5" s="46"/>
      <c r="AL5" s="46"/>
      <c r="AM5" s="46"/>
    </row>
    <row r="6" spans="32:39" ht="14.5" customHeight="1" x14ac:dyDescent="0.35">
      <c r="AF6" s="46"/>
      <c r="AG6" s="46"/>
      <c r="AH6" s="46"/>
      <c r="AI6" s="46"/>
      <c r="AJ6" s="46"/>
      <c r="AK6" s="46"/>
      <c r="AL6" s="46"/>
      <c r="AM6" s="46"/>
    </row>
    <row r="7" spans="32:39" ht="14.5" customHeight="1" x14ac:dyDescent="0.35">
      <c r="AF7" s="46"/>
      <c r="AG7" s="46"/>
      <c r="AH7" s="46"/>
      <c r="AI7" s="46"/>
      <c r="AJ7" s="46"/>
      <c r="AK7" s="46"/>
      <c r="AL7" s="46"/>
      <c r="AM7" s="46"/>
    </row>
    <row r="8" spans="32:39" ht="14.5" customHeight="1" x14ac:dyDescent="0.35">
      <c r="AF8" s="46"/>
      <c r="AG8" s="46"/>
      <c r="AH8" s="46"/>
      <c r="AI8" s="46"/>
      <c r="AJ8" s="46"/>
      <c r="AK8" s="46"/>
      <c r="AL8" s="46"/>
      <c r="AM8" s="46"/>
    </row>
    <row r="9" spans="32:39" ht="14.5" customHeight="1" x14ac:dyDescent="0.35">
      <c r="AF9" s="46"/>
      <c r="AG9" s="46"/>
      <c r="AH9" s="46"/>
      <c r="AI9" s="46"/>
      <c r="AJ9" s="46"/>
      <c r="AK9" s="46"/>
      <c r="AL9" s="46"/>
      <c r="AM9" s="46"/>
    </row>
    <row r="10" spans="32:39" ht="14.5" customHeight="1" x14ac:dyDescent="0.35">
      <c r="AF10" s="46"/>
      <c r="AG10" s="46"/>
      <c r="AH10" s="46"/>
      <c r="AI10" s="46"/>
      <c r="AJ10" s="46"/>
      <c r="AK10" s="46"/>
      <c r="AL10" s="46"/>
      <c r="AM10" s="46"/>
    </row>
    <row r="11" spans="32:39" ht="14.5" customHeight="1" x14ac:dyDescent="0.35">
      <c r="AF11" s="46"/>
      <c r="AG11" s="46"/>
      <c r="AH11" s="46"/>
      <c r="AI11" s="46"/>
      <c r="AJ11" s="46"/>
      <c r="AK11" s="46"/>
      <c r="AL11" s="46"/>
      <c r="AM11" s="46"/>
    </row>
    <row r="12" spans="32:39" ht="14.5" customHeight="1" x14ac:dyDescent="0.35">
      <c r="AF12" s="46"/>
      <c r="AG12" s="46"/>
      <c r="AH12" s="46"/>
      <c r="AI12" s="46"/>
      <c r="AJ12" s="46"/>
      <c r="AK12" s="46"/>
      <c r="AL12" s="46"/>
      <c r="AM12" s="46"/>
    </row>
    <row r="13" spans="32:39" ht="14.5" customHeight="1" x14ac:dyDescent="0.35">
      <c r="AF13" s="46"/>
      <c r="AG13" s="46"/>
      <c r="AH13" s="46"/>
      <c r="AI13" s="46"/>
      <c r="AJ13" s="46"/>
      <c r="AK13" s="46"/>
      <c r="AL13" s="46"/>
      <c r="AM13" s="46"/>
    </row>
    <row r="14" spans="32:39" ht="14.5" customHeight="1" x14ac:dyDescent="0.35">
      <c r="AF14" s="46"/>
      <c r="AG14" s="46"/>
      <c r="AH14" s="46"/>
      <c r="AI14" s="46"/>
      <c r="AJ14" s="46"/>
      <c r="AK14" s="46"/>
      <c r="AL14" s="46"/>
      <c r="AM14" s="46"/>
    </row>
    <row r="15" spans="32:39" ht="14.5" customHeight="1" x14ac:dyDescent="0.35">
      <c r="AF15" s="46"/>
      <c r="AG15" s="46"/>
      <c r="AH15" s="46"/>
      <c r="AI15" s="46"/>
      <c r="AJ15" s="46"/>
      <c r="AK15" s="46"/>
      <c r="AL15" s="46"/>
      <c r="AM15" s="46"/>
    </row>
    <row r="16" spans="32:39" ht="14.5" customHeight="1" x14ac:dyDescent="0.35">
      <c r="AF16" s="46"/>
      <c r="AG16" s="46"/>
      <c r="AH16" s="46"/>
      <c r="AI16" s="46"/>
      <c r="AJ16" s="46"/>
      <c r="AK16" s="46"/>
      <c r="AL16" s="46"/>
      <c r="AM16" s="46"/>
    </row>
    <row r="17" spans="32:40" ht="14.5" customHeight="1" x14ac:dyDescent="0.35">
      <c r="AF17" s="46"/>
      <c r="AG17" s="46"/>
      <c r="AH17" s="46"/>
      <c r="AI17" s="46"/>
      <c r="AJ17" s="46"/>
      <c r="AK17" s="46"/>
      <c r="AL17" s="46"/>
      <c r="AM17" s="46"/>
      <c r="AN17" s="45"/>
    </row>
    <row r="18" spans="32:40" ht="14.5" customHeight="1" x14ac:dyDescent="0.35">
      <c r="AF18" s="46"/>
      <c r="AG18" s="46"/>
      <c r="AH18" s="46"/>
      <c r="AI18" s="46"/>
      <c r="AJ18" s="46"/>
      <c r="AK18" s="46"/>
      <c r="AL18" s="46"/>
      <c r="AM18" s="46"/>
      <c r="AN18" s="45"/>
    </row>
    <row r="19" spans="32:40" ht="14.5" customHeight="1" x14ac:dyDescent="0.35">
      <c r="AF19" s="46"/>
      <c r="AG19" s="46"/>
      <c r="AH19" s="46"/>
      <c r="AI19" s="46"/>
      <c r="AJ19" s="46"/>
      <c r="AK19" s="46"/>
      <c r="AL19" s="46"/>
      <c r="AM19" s="46"/>
      <c r="AN19" s="45"/>
    </row>
    <row r="20" spans="32:40" ht="14.5" customHeight="1" x14ac:dyDescent="0.35">
      <c r="AF20" s="46"/>
      <c r="AG20" s="46"/>
      <c r="AH20" s="46"/>
      <c r="AI20" s="46"/>
      <c r="AJ20" s="46"/>
      <c r="AK20" s="46"/>
      <c r="AL20" s="46"/>
      <c r="AM20" s="46"/>
      <c r="AN20" s="45"/>
    </row>
    <row r="21" spans="32:40" ht="14.5" customHeight="1" x14ac:dyDescent="0.35">
      <c r="AF21" s="46"/>
      <c r="AG21" s="46"/>
      <c r="AH21" s="46"/>
      <c r="AI21" s="46"/>
      <c r="AJ21" s="46"/>
      <c r="AK21" s="46"/>
      <c r="AL21" s="46"/>
      <c r="AM21" s="46"/>
      <c r="AN21" s="45"/>
    </row>
    <row r="22" spans="32:40" ht="23.5" customHeight="1" x14ac:dyDescent="0.35">
      <c r="AF22" s="46"/>
      <c r="AG22" s="46"/>
      <c r="AH22" s="46"/>
      <c r="AI22" s="46"/>
      <c r="AJ22" s="46"/>
      <c r="AK22" s="46"/>
      <c r="AL22" s="46"/>
      <c r="AM22" s="46"/>
    </row>
    <row r="23" spans="32:40" ht="23.5" customHeight="1" x14ac:dyDescent="0.35">
      <c r="AF23" s="46"/>
      <c r="AG23" s="46"/>
      <c r="AH23" s="46"/>
      <c r="AI23" s="46"/>
      <c r="AJ23" s="46"/>
      <c r="AK23" s="46"/>
      <c r="AL23" s="46"/>
      <c r="AM23" s="46"/>
    </row>
    <row r="24" spans="32:40" ht="23.5" customHeight="1" x14ac:dyDescent="0.35">
      <c r="AF24" s="46"/>
      <c r="AG24" s="46"/>
      <c r="AH24" s="46"/>
      <c r="AI24" s="46"/>
      <c r="AJ24" s="46"/>
      <c r="AK24" s="46"/>
      <c r="AL24" s="46"/>
      <c r="AM24" s="46"/>
    </row>
    <row r="25" spans="32:40" ht="14.5" customHeight="1" x14ac:dyDescent="0.35">
      <c r="AF25" s="46"/>
      <c r="AG25" s="46"/>
      <c r="AH25" s="46"/>
      <c r="AI25" s="46"/>
      <c r="AJ25" s="46"/>
      <c r="AK25" s="46"/>
      <c r="AL25" s="46"/>
      <c r="AM25" s="46"/>
    </row>
    <row r="26" spans="32:40" ht="14.5" customHeight="1" x14ac:dyDescent="0.35">
      <c r="AF26" s="46"/>
      <c r="AG26" s="46"/>
      <c r="AH26" s="46"/>
      <c r="AI26" s="46"/>
      <c r="AJ26" s="46"/>
      <c r="AK26" s="46"/>
      <c r="AL26" s="46"/>
      <c r="AM26" s="46"/>
    </row>
    <row r="27" spans="32:40" ht="14.5" customHeight="1" x14ac:dyDescent="0.35">
      <c r="AF27" s="46"/>
      <c r="AG27" s="46"/>
      <c r="AH27" s="46"/>
      <c r="AI27" s="46"/>
      <c r="AJ27" s="46"/>
      <c r="AK27" s="46"/>
      <c r="AL27" s="46"/>
      <c r="AM27" s="46"/>
    </row>
    <row r="28" spans="32:40" ht="14.5" customHeight="1" x14ac:dyDescent="0.35">
      <c r="AF28" s="46"/>
      <c r="AG28" s="46"/>
      <c r="AH28" s="46"/>
      <c r="AI28" s="46"/>
      <c r="AJ28" s="46"/>
      <c r="AK28" s="46"/>
      <c r="AL28" s="46"/>
      <c r="AM28" s="46"/>
    </row>
    <row r="29" spans="32:40" ht="14.5" customHeight="1" x14ac:dyDescent="0.35">
      <c r="AF29" s="46"/>
      <c r="AG29" s="46"/>
      <c r="AH29" s="46"/>
      <c r="AI29" s="46"/>
      <c r="AJ29" s="46"/>
      <c r="AK29" s="46"/>
      <c r="AL29" s="46"/>
      <c r="AM29" s="46"/>
    </row>
    <row r="30" spans="32:40" ht="14.5" customHeight="1" x14ac:dyDescent="0.35">
      <c r="AF30" s="46"/>
      <c r="AG30" s="46"/>
      <c r="AH30" s="46"/>
      <c r="AI30" s="46"/>
      <c r="AJ30" s="46"/>
      <c r="AK30" s="46"/>
      <c r="AL30" s="46"/>
      <c r="AM30" s="46"/>
    </row>
    <row r="31" spans="32:40" ht="14.5" customHeight="1" x14ac:dyDescent="0.35">
      <c r="AF31" s="47"/>
      <c r="AG31" s="47"/>
      <c r="AH31" s="47"/>
      <c r="AI31" s="47"/>
      <c r="AJ31" s="47"/>
      <c r="AK31" s="47"/>
      <c r="AL31" s="47"/>
      <c r="AM31" s="47"/>
    </row>
  </sheetData>
  <mergeCells count="1">
    <mergeCell ref="AF4:AM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07FF-D1EE-4DC7-B77E-7431DE763EEE}">
  <dimension ref="A1:B6"/>
  <sheetViews>
    <sheetView zoomScaleNormal="100" workbookViewId="0">
      <selection activeCell="B9" sqref="B9"/>
    </sheetView>
  </sheetViews>
  <sheetFormatPr defaultRowHeight="14.5" x14ac:dyDescent="0.35"/>
  <cols>
    <col min="1" max="2" width="15.6640625" bestFit="1" customWidth="1"/>
  </cols>
  <sheetData>
    <row r="1" spans="1:2" x14ac:dyDescent="0.35">
      <c r="A1" s="32" t="s">
        <v>1048</v>
      </c>
      <c r="B1" s="31" t="s">
        <v>9</v>
      </c>
    </row>
    <row r="2" spans="1:2" x14ac:dyDescent="0.35">
      <c r="A2" s="29" t="s">
        <v>1051</v>
      </c>
      <c r="B2" s="33" t="s">
        <v>14</v>
      </c>
    </row>
    <row r="3" spans="1:2" x14ac:dyDescent="0.35">
      <c r="A3" s="30"/>
      <c r="B3" s="39" t="s">
        <v>25</v>
      </c>
    </row>
    <row r="4" spans="1:2" x14ac:dyDescent="0.35">
      <c r="A4" s="29" t="s">
        <v>1050</v>
      </c>
      <c r="B4" s="33" t="s">
        <v>47</v>
      </c>
    </row>
    <row r="5" spans="1:2" x14ac:dyDescent="0.35">
      <c r="A5" s="30"/>
      <c r="B5" s="39" t="s">
        <v>176</v>
      </c>
    </row>
    <row r="6" spans="1:2" x14ac:dyDescent="0.35">
      <c r="A6" s="37" t="s">
        <v>1049</v>
      </c>
      <c r="B6" s="36"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workbookViewId="0">
      <selection activeCell="B16" sqref="B16"/>
    </sheetView>
  </sheetViews>
  <sheetFormatPr defaultColWidth="12.6640625" defaultRowHeight="15" customHeight="1" x14ac:dyDescent="0.35"/>
  <cols>
    <col min="1" max="1" width="14.9140625" bestFit="1" customWidth="1"/>
    <col min="2" max="2" width="31.33203125" bestFit="1" customWidth="1"/>
  </cols>
  <sheetData>
    <row r="1" spans="1:2" ht="14.5" x14ac:dyDescent="0.35">
      <c r="A1" s="32" t="s">
        <v>3</v>
      </c>
      <c r="B1" s="33" t="s">
        <v>1052</v>
      </c>
    </row>
    <row r="2" spans="1:2" ht="15" customHeight="1" x14ac:dyDescent="0.35">
      <c r="A2" s="29" t="s">
        <v>35</v>
      </c>
      <c r="B2" s="34">
        <v>20872</v>
      </c>
    </row>
    <row r="3" spans="1:2" ht="15" customHeight="1" x14ac:dyDescent="0.35">
      <c r="A3" s="38" t="s">
        <v>19</v>
      </c>
      <c r="B3" s="40">
        <v>20581</v>
      </c>
    </row>
    <row r="4" spans="1:2" ht="15" customHeight="1" x14ac:dyDescent="0.35">
      <c r="A4" s="38" t="s">
        <v>13</v>
      </c>
      <c r="B4" s="40">
        <v>20104</v>
      </c>
    </row>
    <row r="5" spans="1:2" ht="15" customHeight="1" x14ac:dyDescent="0.35">
      <c r="A5" s="38" t="s">
        <v>24</v>
      </c>
      <c r="B5" s="40">
        <v>18415</v>
      </c>
    </row>
    <row r="6" spans="1:2" ht="15" customHeight="1" x14ac:dyDescent="0.35">
      <c r="A6" s="38" t="s">
        <v>31</v>
      </c>
      <c r="B6" s="40">
        <v>16651</v>
      </c>
    </row>
    <row r="7" spans="1:2" ht="15" customHeight="1" x14ac:dyDescent="0.35">
      <c r="A7" s="37" t="s">
        <v>1038</v>
      </c>
      <c r="B7" s="35">
        <v>96623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5AD1-9468-44A7-BFBF-8C48C289CB4C}">
  <dimension ref="A1:B9"/>
  <sheetViews>
    <sheetView workbookViewId="0">
      <selection activeCell="A10" sqref="A10"/>
    </sheetView>
  </sheetViews>
  <sheetFormatPr defaultRowHeight="14.5" x14ac:dyDescent="0.35"/>
  <cols>
    <col min="1" max="1" width="14.9140625" bestFit="1" customWidth="1"/>
    <col min="2" max="2" width="24.5" bestFit="1" customWidth="1"/>
  </cols>
  <sheetData>
    <row r="1" spans="1:2" x14ac:dyDescent="0.35">
      <c r="A1" s="32" t="s">
        <v>3</v>
      </c>
      <c r="B1" s="33" t="s">
        <v>1039</v>
      </c>
    </row>
    <row r="2" spans="1:2" x14ac:dyDescent="0.35">
      <c r="A2" s="29" t="s">
        <v>24</v>
      </c>
      <c r="B2" s="41">
        <v>3.9227513227513247</v>
      </c>
    </row>
    <row r="3" spans="1:2" x14ac:dyDescent="0.35">
      <c r="A3" s="38" t="s">
        <v>31</v>
      </c>
      <c r="B3" s="42">
        <v>3.8973118279569863</v>
      </c>
    </row>
    <row r="4" spans="1:2" x14ac:dyDescent="0.35">
      <c r="A4" s="38" t="s">
        <v>13</v>
      </c>
      <c r="B4" s="42">
        <v>3.8824999999999998</v>
      </c>
    </row>
    <row r="5" spans="1:2" x14ac:dyDescent="0.35">
      <c r="A5" s="38" t="s">
        <v>19</v>
      </c>
      <c r="B5" s="42">
        <v>3.8706422018348627</v>
      </c>
    </row>
    <row r="6" spans="1:2" x14ac:dyDescent="0.35">
      <c r="A6" s="38" t="s">
        <v>35</v>
      </c>
      <c r="B6" s="42">
        <v>3.8589371980676304</v>
      </c>
    </row>
    <row r="7" spans="1:2" x14ac:dyDescent="0.35">
      <c r="A7" s="37" t="s">
        <v>1038</v>
      </c>
      <c r="B7" s="43">
        <v>3.8854000000000029</v>
      </c>
    </row>
    <row r="9" spans="1:2" x14ac:dyDescent="0.35">
      <c r="A9" s="44" t="s">
        <v>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9238-A655-4387-81B2-84069A6035FC}">
  <dimension ref="A3:B8"/>
  <sheetViews>
    <sheetView workbookViewId="0">
      <selection activeCell="L12" sqref="L12"/>
    </sheetView>
  </sheetViews>
  <sheetFormatPr defaultRowHeight="14.5" x14ac:dyDescent="0.35"/>
  <cols>
    <col min="1" max="1" width="17.25" bestFit="1" customWidth="1"/>
    <col min="2" max="2" width="21.5" bestFit="1" customWidth="1"/>
  </cols>
  <sheetData>
    <row r="3" spans="1:2" x14ac:dyDescent="0.35">
      <c r="A3" s="32" t="s">
        <v>1036</v>
      </c>
      <c r="B3" s="33" t="s">
        <v>1053</v>
      </c>
    </row>
    <row r="4" spans="1:2" x14ac:dyDescent="0.35">
      <c r="A4" s="29" t="s">
        <v>1051</v>
      </c>
      <c r="B4" s="41">
        <v>761</v>
      </c>
    </row>
    <row r="5" spans="1:2" x14ac:dyDescent="0.35">
      <c r="A5" s="38" t="s">
        <v>1049</v>
      </c>
      <c r="B5" s="42">
        <v>179</v>
      </c>
    </row>
    <row r="6" spans="1:2" x14ac:dyDescent="0.35">
      <c r="A6" s="38" t="s">
        <v>1050</v>
      </c>
      <c r="B6" s="42">
        <v>44</v>
      </c>
    </row>
    <row r="7" spans="1:2" x14ac:dyDescent="0.35">
      <c r="A7" s="38" t="s">
        <v>1040</v>
      </c>
      <c r="B7" s="42">
        <v>16</v>
      </c>
    </row>
    <row r="8" spans="1:2" x14ac:dyDescent="0.35">
      <c r="A8" s="37" t="s">
        <v>1038</v>
      </c>
      <c r="B8" s="43">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0F75-43FA-4018-98E7-CEA7C5C3703B}">
  <dimension ref="A3:B11"/>
  <sheetViews>
    <sheetView workbookViewId="0">
      <selection activeCell="K10" sqref="K10"/>
    </sheetView>
  </sheetViews>
  <sheetFormatPr defaultRowHeight="14.5" x14ac:dyDescent="0.35"/>
  <cols>
    <col min="1" max="1" width="12.4140625" bestFit="1" customWidth="1"/>
    <col min="2" max="2" width="33.9140625" bestFit="1" customWidth="1"/>
  </cols>
  <sheetData>
    <row r="3" spans="1:2" x14ac:dyDescent="0.35">
      <c r="A3" s="32" t="s">
        <v>8</v>
      </c>
      <c r="B3" s="33" t="s">
        <v>1054</v>
      </c>
    </row>
    <row r="4" spans="1:2" x14ac:dyDescent="0.35">
      <c r="A4" s="29" t="s">
        <v>1047</v>
      </c>
      <c r="B4" s="34">
        <v>16007</v>
      </c>
    </row>
    <row r="5" spans="1:2" x14ac:dyDescent="0.35">
      <c r="A5" s="38" t="s">
        <v>1044</v>
      </c>
      <c r="B5" s="40">
        <v>15702</v>
      </c>
    </row>
    <row r="6" spans="1:2" x14ac:dyDescent="0.35">
      <c r="A6" s="38" t="s">
        <v>1041</v>
      </c>
      <c r="B6" s="40">
        <v>13476</v>
      </c>
    </row>
    <row r="7" spans="1:2" x14ac:dyDescent="0.35">
      <c r="A7" s="38" t="s">
        <v>1043</v>
      </c>
      <c r="B7" s="40">
        <v>13143</v>
      </c>
    </row>
    <row r="8" spans="1:2" x14ac:dyDescent="0.35">
      <c r="A8" s="38" t="s">
        <v>1046</v>
      </c>
      <c r="B8" s="40">
        <v>13120</v>
      </c>
    </row>
    <row r="9" spans="1:2" x14ac:dyDescent="0.35">
      <c r="A9" s="38" t="s">
        <v>1042</v>
      </c>
      <c r="B9" s="40">
        <v>13054</v>
      </c>
    </row>
    <row r="10" spans="1:2" x14ac:dyDescent="0.35">
      <c r="A10" s="38" t="s">
        <v>1045</v>
      </c>
      <c r="B10" s="40">
        <v>12121</v>
      </c>
    </row>
    <row r="11" spans="1:2" x14ac:dyDescent="0.35">
      <c r="A11" s="37" t="s">
        <v>1038</v>
      </c>
      <c r="B11" s="35">
        <v>96623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0A00-32C9-44D9-90FA-D69B4A43BFEC}">
  <dimension ref="A1:B7"/>
  <sheetViews>
    <sheetView workbookViewId="0">
      <selection activeCell="O6" sqref="O6"/>
    </sheetView>
  </sheetViews>
  <sheetFormatPr defaultRowHeight="14.5" x14ac:dyDescent="0.35"/>
  <cols>
    <col min="1" max="1" width="14.9140625" bestFit="1" customWidth="1"/>
    <col min="2" max="2" width="11.1640625" bestFit="1" customWidth="1"/>
  </cols>
  <sheetData>
    <row r="1" spans="1:2" x14ac:dyDescent="0.35">
      <c r="A1" s="32" t="s">
        <v>3</v>
      </c>
      <c r="B1" s="33" t="s">
        <v>1056</v>
      </c>
    </row>
    <row r="2" spans="1:2" x14ac:dyDescent="0.35">
      <c r="A2" s="29" t="s">
        <v>19</v>
      </c>
      <c r="B2" s="41">
        <v>218</v>
      </c>
    </row>
    <row r="3" spans="1:2" x14ac:dyDescent="0.35">
      <c r="A3" s="38" t="s">
        <v>35</v>
      </c>
      <c r="B3" s="42">
        <v>207</v>
      </c>
    </row>
    <row r="4" spans="1:2" x14ac:dyDescent="0.35">
      <c r="A4" s="38" t="s">
        <v>13</v>
      </c>
      <c r="B4" s="42">
        <v>200</v>
      </c>
    </row>
    <row r="5" spans="1:2" x14ac:dyDescent="0.35">
      <c r="A5" s="38" t="s">
        <v>24</v>
      </c>
      <c r="B5" s="42">
        <v>189</v>
      </c>
    </row>
    <row r="6" spans="1:2" x14ac:dyDescent="0.35">
      <c r="A6" s="38" t="s">
        <v>31</v>
      </c>
      <c r="B6" s="42">
        <v>186</v>
      </c>
    </row>
    <row r="7" spans="1:2" x14ac:dyDescent="0.35">
      <c r="A7" s="37" t="s">
        <v>1038</v>
      </c>
      <c r="B7" s="43">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44D4-9534-41C4-B35D-6351B4293200}">
  <dimension ref="A1:B9"/>
  <sheetViews>
    <sheetView tabSelected="1" workbookViewId="0">
      <selection activeCell="M13" sqref="M13"/>
    </sheetView>
  </sheetViews>
  <sheetFormatPr defaultRowHeight="14.5" x14ac:dyDescent="0.35"/>
  <cols>
    <col min="1" max="1" width="12.4140625" bestFit="1" customWidth="1"/>
    <col min="2" max="2" width="10.5" bestFit="1" customWidth="1"/>
  </cols>
  <sheetData>
    <row r="1" spans="1:2" x14ac:dyDescent="0.35">
      <c r="A1" s="32" t="s">
        <v>8</v>
      </c>
      <c r="B1" s="33" t="s">
        <v>1055</v>
      </c>
    </row>
    <row r="2" spans="1:2" x14ac:dyDescent="0.35">
      <c r="A2" s="29" t="s">
        <v>1047</v>
      </c>
      <c r="B2" s="41">
        <v>161</v>
      </c>
    </row>
    <row r="3" spans="1:2" x14ac:dyDescent="0.35">
      <c r="A3" s="38" t="s">
        <v>1044</v>
      </c>
      <c r="B3" s="42">
        <v>153</v>
      </c>
    </row>
    <row r="4" spans="1:2" x14ac:dyDescent="0.35">
      <c r="A4" s="38" t="s">
        <v>1041</v>
      </c>
      <c r="B4" s="42">
        <v>146</v>
      </c>
    </row>
    <row r="5" spans="1:2" x14ac:dyDescent="0.35">
      <c r="A5" s="38" t="s">
        <v>1046</v>
      </c>
      <c r="B5" s="42">
        <v>141</v>
      </c>
    </row>
    <row r="6" spans="1:2" x14ac:dyDescent="0.35">
      <c r="A6" s="38" t="s">
        <v>1043</v>
      </c>
      <c r="B6" s="42">
        <v>138</v>
      </c>
    </row>
    <row r="7" spans="1:2" x14ac:dyDescent="0.35">
      <c r="A7" s="38" t="s">
        <v>1042</v>
      </c>
      <c r="B7" s="42">
        <v>133</v>
      </c>
    </row>
    <row r="8" spans="1:2" x14ac:dyDescent="0.35">
      <c r="A8" s="38" t="s">
        <v>1045</v>
      </c>
      <c r="B8" s="42">
        <v>128</v>
      </c>
    </row>
    <row r="9" spans="1:2" x14ac:dyDescent="0.35">
      <c r="A9" s="37" t="s">
        <v>1038</v>
      </c>
      <c r="B9" s="43">
        <v>1000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Call Data</vt:lpstr>
      <vt:lpstr>Dashboard-Insight</vt:lpstr>
      <vt:lpstr>Pivot Grouping</vt:lpstr>
      <vt:lpstr>Q1 - Sales by Representative</vt:lpstr>
      <vt:lpstr>Q2</vt:lpstr>
      <vt:lpstr>Q3</vt:lpstr>
      <vt:lpstr>Q4</vt:lpstr>
      <vt:lpstr>Q5</vt:lpstr>
      <vt:lpstr>Q6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رنا سميح عيد الشرقاوى</cp:lastModifiedBy>
  <dcterms:created xsi:type="dcterms:W3CDTF">2021-03-14T20:21:32Z</dcterms:created>
  <dcterms:modified xsi:type="dcterms:W3CDTF">2026-03-27T04:26:17Z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